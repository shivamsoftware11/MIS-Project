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Download\"/>
    </mc:Choice>
  </mc:AlternateContent>
  <xr:revisionPtr revIDLastSave="0" documentId="13_ncr:1_{83BFE847-5A82-4668-B65B-68DDA7BA4FB1}" xr6:coauthVersionLast="47" xr6:coauthVersionMax="47" xr10:uidLastSave="{00000000-0000-0000-0000-000000000000}"/>
  <bookViews>
    <workbookView xWindow="-108" yWindow="-108" windowWidth="23256" windowHeight="13896" activeTab="1" xr2:uid="{DDEA06FE-B635-425B-80A0-BC173ED41C2B}"/>
  </bookViews>
  <sheets>
    <sheet name="01.Table" sheetId="1" r:id="rId1"/>
    <sheet name="02.MIS Report Table" sheetId="6" r:id="rId2"/>
    <sheet name="04.Report" sheetId="7" r:id="rId3"/>
    <sheet name="03.Report" sheetId="2" r:id="rId4"/>
    <sheet name="05.Report" sheetId="8" r:id="rId5"/>
    <sheet name="06.Dashboard" sheetId="9" r:id="rId6"/>
    <sheet name="07.DRW" sheetId="10" r:id="rId7"/>
  </sheets>
  <definedNames>
    <definedName name="_xlnm._FilterDatabase" localSheetId="3" hidden="1">'03.Report'!#REF!</definedName>
    <definedName name="_xlnm._FilterDatabase" localSheetId="2" hidden="1">'04.Report'!#REF!</definedName>
    <definedName name="Sale_Table">Table1[]</definedName>
    <definedName name="Slicer_Month">#N/A</definedName>
    <definedName name="Slicer_Payment_Method">#N/A</definedName>
    <definedName name="Slicer_State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6" l="1"/>
  <c r="L7" i="6"/>
  <c r="M7" i="6"/>
  <c r="N7" i="6"/>
  <c r="O7" i="6"/>
  <c r="P7" i="6"/>
  <c r="Q7" i="6"/>
  <c r="K8" i="6"/>
  <c r="L8" i="6"/>
  <c r="M8" i="6"/>
  <c r="N8" i="6"/>
  <c r="O8" i="6"/>
  <c r="P8" i="6"/>
  <c r="Q8" i="6"/>
  <c r="K9" i="6"/>
  <c r="L9" i="6"/>
  <c r="M9" i="6"/>
  <c r="N9" i="6"/>
  <c r="O9" i="6"/>
  <c r="P9" i="6"/>
  <c r="Q9" i="6"/>
  <c r="K10" i="6"/>
  <c r="L10" i="6"/>
  <c r="M10" i="6"/>
  <c r="N10" i="6"/>
  <c r="O10" i="6"/>
  <c r="P10" i="6"/>
  <c r="Q10" i="6"/>
  <c r="K11" i="6"/>
  <c r="L11" i="6"/>
  <c r="M11" i="6"/>
  <c r="N11" i="6"/>
  <c r="O11" i="6"/>
  <c r="P11" i="6"/>
  <c r="Q11" i="6"/>
  <c r="K12" i="6"/>
  <c r="L12" i="6"/>
  <c r="M12" i="6"/>
  <c r="N12" i="6"/>
  <c r="O12" i="6"/>
  <c r="P12" i="6"/>
  <c r="Q12" i="6"/>
  <c r="K13" i="6"/>
  <c r="L13" i="6"/>
  <c r="M13" i="6"/>
  <c r="N13" i="6"/>
  <c r="O13" i="6"/>
  <c r="P13" i="6"/>
  <c r="Q13" i="6"/>
  <c r="K14" i="6"/>
  <c r="L14" i="6"/>
  <c r="M14" i="6"/>
  <c r="N14" i="6"/>
  <c r="O14" i="6"/>
  <c r="P14" i="6"/>
  <c r="Q14" i="6"/>
  <c r="K15" i="6"/>
  <c r="L15" i="6"/>
  <c r="M15" i="6"/>
  <c r="N15" i="6"/>
  <c r="O15" i="6"/>
  <c r="P15" i="6"/>
  <c r="Q15" i="6"/>
  <c r="K16" i="6"/>
  <c r="L16" i="6"/>
  <c r="M16" i="6"/>
  <c r="N16" i="6"/>
  <c r="O16" i="6"/>
  <c r="P16" i="6"/>
  <c r="Q16" i="6"/>
  <c r="K17" i="6"/>
  <c r="L17" i="6"/>
  <c r="M17" i="6"/>
  <c r="N17" i="6"/>
  <c r="O17" i="6"/>
  <c r="P17" i="6"/>
  <c r="Q17" i="6"/>
  <c r="J8" i="6"/>
  <c r="J9" i="6"/>
  <c r="J10" i="6"/>
  <c r="J11" i="6"/>
  <c r="J12" i="6"/>
  <c r="J13" i="6"/>
  <c r="J14" i="6"/>
  <c r="J15" i="6"/>
  <c r="J16" i="6"/>
  <c r="J17" i="6"/>
  <c r="J7" i="6"/>
  <c r="B7" i="6"/>
  <c r="C7" i="6"/>
  <c r="D7" i="6"/>
  <c r="E7" i="6"/>
  <c r="F7" i="6"/>
  <c r="G7" i="6"/>
  <c r="H7" i="6"/>
  <c r="I7" i="6"/>
  <c r="C8" i="6"/>
  <c r="D8" i="6"/>
  <c r="E8" i="6"/>
  <c r="F8" i="6"/>
  <c r="G8" i="6"/>
  <c r="H8" i="6"/>
  <c r="I8" i="6"/>
  <c r="C9" i="6"/>
  <c r="D9" i="6"/>
  <c r="E9" i="6"/>
  <c r="F9" i="6"/>
  <c r="G9" i="6"/>
  <c r="H9" i="6"/>
  <c r="I9" i="6"/>
  <c r="C10" i="6"/>
  <c r="D10" i="6"/>
  <c r="E10" i="6"/>
  <c r="F10" i="6"/>
  <c r="G10" i="6"/>
  <c r="H10" i="6"/>
  <c r="I10" i="6"/>
  <c r="C11" i="6"/>
  <c r="D11" i="6"/>
  <c r="E11" i="6"/>
  <c r="F11" i="6"/>
  <c r="G11" i="6"/>
  <c r="H11" i="6"/>
  <c r="I11" i="6"/>
  <c r="C12" i="6"/>
  <c r="D12" i="6"/>
  <c r="E12" i="6"/>
  <c r="F12" i="6"/>
  <c r="G12" i="6"/>
  <c r="H12" i="6"/>
  <c r="I12" i="6"/>
  <c r="C13" i="6"/>
  <c r="D13" i="6"/>
  <c r="E13" i="6"/>
  <c r="F13" i="6"/>
  <c r="G13" i="6"/>
  <c r="H13" i="6"/>
  <c r="I13" i="6"/>
  <c r="C14" i="6"/>
  <c r="D14" i="6"/>
  <c r="E14" i="6"/>
  <c r="F14" i="6"/>
  <c r="G14" i="6"/>
  <c r="H14" i="6"/>
  <c r="I14" i="6"/>
  <c r="C15" i="6"/>
  <c r="D15" i="6"/>
  <c r="E15" i="6"/>
  <c r="F15" i="6"/>
  <c r="G15" i="6"/>
  <c r="H15" i="6"/>
  <c r="I15" i="6"/>
  <c r="C16" i="6"/>
  <c r="D16" i="6"/>
  <c r="E16" i="6"/>
  <c r="F16" i="6"/>
  <c r="G16" i="6"/>
  <c r="H16" i="6"/>
  <c r="I16" i="6"/>
  <c r="C17" i="6"/>
  <c r="D17" i="6"/>
  <c r="E17" i="6"/>
  <c r="F17" i="6"/>
  <c r="G17" i="6"/>
  <c r="H17" i="6"/>
  <c r="I17" i="6"/>
  <c r="B8" i="6"/>
  <c r="B9" i="6"/>
  <c r="B10" i="6"/>
  <c r="B11" i="6"/>
  <c r="B12" i="6"/>
  <c r="B13" i="6"/>
  <c r="B14" i="6"/>
  <c r="B15" i="6"/>
  <c r="B16" i="6"/>
  <c r="B17" i="6"/>
  <c r="A1" i="6"/>
  <c r="O5" i="10"/>
  <c r="N5" i="10"/>
  <c r="N89" i="1"/>
  <c r="N24" i="1"/>
  <c r="N4" i="1"/>
  <c r="N171" i="1"/>
  <c r="N12" i="1"/>
  <c r="N159" i="1"/>
  <c r="N285" i="1"/>
  <c r="N218" i="1"/>
  <c r="N175" i="1"/>
  <c r="N257" i="1"/>
  <c r="N271" i="1"/>
  <c r="N128" i="1"/>
  <c r="N198" i="1"/>
  <c r="N25" i="1"/>
  <c r="N125" i="1"/>
  <c r="N235" i="1"/>
  <c r="N214" i="1"/>
  <c r="N21" i="1"/>
  <c r="N101" i="1"/>
  <c r="N113" i="1"/>
  <c r="N287" i="1"/>
  <c r="N13" i="1"/>
  <c r="N193" i="1"/>
  <c r="N70" i="1"/>
  <c r="N80" i="1"/>
  <c r="N245" i="1"/>
  <c r="N17" i="1"/>
  <c r="N60" i="1"/>
  <c r="N232" i="1"/>
  <c r="N97" i="1"/>
  <c r="N158" i="1"/>
  <c r="N123" i="1"/>
  <c r="N148" i="1"/>
  <c r="N203" i="1"/>
  <c r="N7" i="1"/>
  <c r="N215" i="1"/>
  <c r="N197" i="1"/>
  <c r="N274" i="1"/>
  <c r="N39" i="1"/>
  <c r="N180" i="1"/>
  <c r="N297" i="1"/>
  <c r="N167" i="1"/>
  <c r="N30" i="1"/>
  <c r="N162" i="1"/>
  <c r="N291" i="1"/>
  <c r="N61" i="1"/>
  <c r="N55" i="1"/>
  <c r="N172" i="1"/>
  <c r="N236" i="1"/>
  <c r="N85" i="1"/>
  <c r="N202" i="1"/>
  <c r="N147" i="1"/>
  <c r="N133" i="1"/>
  <c r="N105" i="1"/>
  <c r="N154" i="1"/>
  <c r="N262" i="1"/>
  <c r="N107" i="1"/>
  <c r="N50" i="1"/>
  <c r="N72" i="1"/>
  <c r="N84" i="1"/>
  <c r="N260" i="1"/>
  <c r="N149" i="1"/>
  <c r="N109" i="1"/>
  <c r="N182" i="1"/>
  <c r="N138" i="1"/>
  <c r="N177" i="1"/>
  <c r="N117" i="1"/>
  <c r="N137" i="1"/>
  <c r="N173" i="1"/>
  <c r="N119" i="1"/>
  <c r="N43" i="1"/>
  <c r="N206" i="1"/>
  <c r="N26" i="1"/>
  <c r="N47" i="1"/>
  <c r="N34" i="1"/>
  <c r="N65" i="1"/>
  <c r="N40" i="1"/>
  <c r="N258" i="1"/>
  <c r="N48" i="1"/>
  <c r="N199" i="1"/>
  <c r="N127" i="1"/>
  <c r="N126" i="1"/>
  <c r="N76" i="1"/>
  <c r="N112" i="1"/>
  <c r="N224" i="1"/>
  <c r="N263" i="1"/>
  <c r="N207" i="1"/>
  <c r="N283" i="1"/>
  <c r="N189" i="1"/>
  <c r="N86" i="1"/>
  <c r="N294" i="1"/>
  <c r="N134" i="1"/>
  <c r="N37" i="1"/>
  <c r="N68" i="1"/>
  <c r="N264" i="1"/>
  <c r="N96" i="1"/>
  <c r="N184" i="1"/>
  <c r="N288" i="1"/>
  <c r="N32" i="1"/>
  <c r="N246" i="1"/>
  <c r="N196" i="1"/>
  <c r="N108" i="1"/>
  <c r="N282" i="1"/>
  <c r="N298" i="1"/>
  <c r="N213" i="1"/>
  <c r="N267" i="1"/>
  <c r="N8" i="1"/>
  <c r="N281" i="1"/>
  <c r="N247" i="1"/>
  <c r="N268" i="1"/>
  <c r="N9" i="1"/>
  <c r="N164" i="1"/>
  <c r="N183" i="1"/>
  <c r="N151" i="1"/>
  <c r="N229" i="1"/>
  <c r="N82" i="1"/>
  <c r="N57" i="1"/>
  <c r="N222" i="1"/>
  <c r="N94" i="1"/>
  <c r="N51" i="1"/>
  <c r="N277" i="1"/>
  <c r="N77" i="1"/>
  <c r="N233" i="1"/>
  <c r="N121" i="1"/>
  <c r="N261" i="1"/>
  <c r="N71" i="1"/>
  <c r="N293" i="1"/>
  <c r="N131" i="1"/>
  <c r="N273" i="1"/>
  <c r="N90" i="1"/>
  <c r="N241" i="1"/>
  <c r="N166" i="1"/>
  <c r="N191" i="1"/>
  <c r="N10" i="1"/>
  <c r="N42" i="1"/>
  <c r="N11" i="1"/>
  <c r="N208" i="1"/>
  <c r="N252" i="1"/>
  <c r="N155" i="1"/>
  <c r="N38" i="1"/>
  <c r="N93" i="1"/>
  <c r="N132" i="1"/>
  <c r="N188" i="1"/>
  <c r="N124" i="1"/>
  <c r="N135" i="1"/>
  <c r="N289" i="1"/>
  <c r="N146" i="1"/>
  <c r="N295" i="1"/>
  <c r="N44" i="1"/>
  <c r="N41" i="1"/>
  <c r="N31" i="1"/>
  <c r="N178" i="1"/>
  <c r="N265" i="1"/>
  <c r="N186" i="1"/>
  <c r="N130" i="1"/>
  <c r="N54" i="1"/>
  <c r="N250" i="1"/>
  <c r="N118" i="1"/>
  <c r="N179" i="1"/>
  <c r="N238" i="1"/>
  <c r="N79" i="1"/>
  <c r="N75" i="1"/>
  <c r="N300" i="1"/>
  <c r="N211" i="1"/>
  <c r="N100" i="1"/>
  <c r="N160" i="1"/>
  <c r="N239" i="1"/>
  <c r="N227" i="1"/>
  <c r="N63" i="1"/>
  <c r="N226" i="1"/>
  <c r="N98" i="1"/>
  <c r="N204" i="1"/>
  <c r="N284" i="1"/>
  <c r="N209" i="1"/>
  <c r="N45" i="1"/>
  <c r="N200" i="1"/>
  <c r="N253" i="1"/>
  <c r="N150" i="1"/>
  <c r="N28" i="1"/>
  <c r="N286" i="1"/>
  <c r="N91" i="1"/>
  <c r="N269" i="1"/>
  <c r="N192" i="1"/>
  <c r="N92" i="1"/>
  <c r="N27" i="1"/>
  <c r="N29" i="1"/>
  <c r="N143" i="1"/>
  <c r="N62" i="1"/>
  <c r="N216" i="1"/>
  <c r="N122" i="1"/>
  <c r="N194" i="1"/>
  <c r="N259" i="1"/>
  <c r="N88" i="1"/>
  <c r="N58" i="1"/>
  <c r="N83" i="1"/>
  <c r="N299" i="1"/>
  <c r="N243" i="1"/>
  <c r="N14" i="1"/>
  <c r="N272" i="1"/>
  <c r="N145" i="1"/>
  <c r="N103" i="1"/>
  <c r="N5" i="1"/>
  <c r="N36" i="1"/>
  <c r="N115" i="1"/>
  <c r="N185" i="1"/>
  <c r="N195" i="1"/>
  <c r="N223" i="1"/>
  <c r="N170" i="1"/>
  <c r="N187" i="1"/>
  <c r="N99" i="1"/>
  <c r="N104" i="1"/>
  <c r="N120" i="1"/>
  <c r="N231" i="1"/>
  <c r="N140" i="1"/>
  <c r="N181" i="1"/>
  <c r="N156" i="1"/>
  <c r="N35" i="1"/>
  <c r="N15" i="1"/>
  <c r="N174" i="1"/>
  <c r="N234" i="1"/>
  <c r="N153" i="1"/>
  <c r="N256" i="1"/>
  <c r="N244" i="1"/>
  <c r="N78" i="1"/>
  <c r="N217" i="1"/>
  <c r="N22" i="1"/>
  <c r="N176" i="1"/>
  <c r="N6" i="1"/>
  <c r="N69" i="1"/>
  <c r="N66" i="1"/>
  <c r="N141" i="1"/>
  <c r="N254" i="1"/>
  <c r="N210" i="1"/>
  <c r="N270" i="1"/>
  <c r="N275" i="1"/>
  <c r="N157" i="1"/>
  <c r="N225" i="1"/>
  <c r="N56" i="1"/>
  <c r="N144" i="1"/>
  <c r="N3" i="1"/>
  <c r="N142" i="1"/>
  <c r="N81" i="1"/>
  <c r="N106" i="1"/>
  <c r="N276" i="1"/>
  <c r="N110" i="1"/>
  <c r="N248" i="1"/>
  <c r="N165" i="1"/>
  <c r="N95" i="1"/>
  <c r="N67" i="1"/>
  <c r="N292" i="1"/>
  <c r="N116" i="1"/>
  <c r="N19" i="1"/>
  <c r="N255" i="1"/>
  <c r="N266" i="1"/>
  <c r="N249" i="1"/>
  <c r="N228" i="1"/>
  <c r="N49" i="1"/>
  <c r="N2" i="1"/>
  <c r="N87" i="1"/>
  <c r="N190" i="1"/>
  <c r="N290" i="1"/>
  <c r="N220" i="1"/>
  <c r="N161" i="1"/>
  <c r="N221" i="1"/>
  <c r="N205" i="1"/>
  <c r="N169" i="1"/>
  <c r="N152" i="1"/>
  <c r="N114" i="1"/>
  <c r="N16" i="1"/>
  <c r="N33" i="1"/>
  <c r="N74" i="1"/>
  <c r="N240" i="1"/>
  <c r="N237" i="1"/>
  <c r="N242" i="1"/>
  <c r="N52" i="1"/>
  <c r="N136" i="1"/>
  <c r="N46" i="1"/>
  <c r="N53" i="1"/>
  <c r="N18" i="1"/>
  <c r="N59" i="1"/>
  <c r="N129" i="1"/>
  <c r="N280" i="1"/>
  <c r="N163" i="1"/>
  <c r="N296" i="1"/>
  <c r="N201" i="1"/>
  <c r="N102" i="1"/>
  <c r="N301" i="1"/>
  <c r="N168" i="1"/>
  <c r="N279" i="1"/>
  <c r="N23" i="1"/>
  <c r="N278" i="1"/>
  <c r="N20" i="1"/>
  <c r="N230" i="1"/>
  <c r="N111" i="1"/>
  <c r="N212" i="1"/>
  <c r="N219" i="1"/>
  <c r="N73" i="1"/>
  <c r="N139" i="1"/>
  <c r="N251" i="1"/>
  <c r="N64" i="1"/>
  <c r="I147" i="1"/>
  <c r="K147" i="1" s="1"/>
  <c r="I133" i="1"/>
  <c r="K133" i="1" s="1"/>
  <c r="I105" i="1"/>
  <c r="K105" i="1" s="1"/>
  <c r="I154" i="1"/>
  <c r="K154" i="1" s="1"/>
  <c r="I262" i="1"/>
  <c r="K262" i="1" s="1"/>
  <c r="I107" i="1"/>
  <c r="K107" i="1" s="1"/>
  <c r="I50" i="1"/>
  <c r="K50" i="1" s="1"/>
  <c r="I72" i="1"/>
  <c r="K72" i="1" s="1"/>
  <c r="I84" i="1"/>
  <c r="K84" i="1" s="1"/>
  <c r="I260" i="1"/>
  <c r="K260" i="1" s="1"/>
  <c r="I149" i="1"/>
  <c r="K149" i="1" s="1"/>
  <c r="I109" i="1"/>
  <c r="K109" i="1" s="1"/>
  <c r="I182" i="1"/>
  <c r="K182" i="1" s="1"/>
  <c r="I138" i="1"/>
  <c r="K138" i="1" s="1"/>
  <c r="I177" i="1"/>
  <c r="K177" i="1" s="1"/>
  <c r="I117" i="1"/>
  <c r="K117" i="1" s="1"/>
  <c r="I137" i="1"/>
  <c r="K137" i="1" s="1"/>
  <c r="I173" i="1"/>
  <c r="K173" i="1" s="1"/>
  <c r="I119" i="1"/>
  <c r="K119" i="1" s="1"/>
  <c r="I43" i="1"/>
  <c r="K43" i="1" s="1"/>
  <c r="I206" i="1"/>
  <c r="K206" i="1" s="1"/>
  <c r="I26" i="1"/>
  <c r="K26" i="1" s="1"/>
  <c r="I47" i="1"/>
  <c r="K47" i="1" s="1"/>
  <c r="I34" i="1"/>
  <c r="K34" i="1" s="1"/>
  <c r="I65" i="1"/>
  <c r="K65" i="1" s="1"/>
  <c r="I40" i="1"/>
  <c r="K40" i="1" s="1"/>
  <c r="I258" i="1"/>
  <c r="K258" i="1" s="1"/>
  <c r="I48" i="1"/>
  <c r="K48" i="1" s="1"/>
  <c r="I199" i="1"/>
  <c r="K199" i="1" s="1"/>
  <c r="I127" i="1"/>
  <c r="K127" i="1" s="1"/>
  <c r="I126" i="1"/>
  <c r="K126" i="1" s="1"/>
  <c r="I76" i="1"/>
  <c r="K76" i="1" s="1"/>
  <c r="I112" i="1"/>
  <c r="K112" i="1" s="1"/>
  <c r="I224" i="1"/>
  <c r="K224" i="1" s="1"/>
  <c r="I263" i="1"/>
  <c r="K263" i="1" s="1"/>
  <c r="I207" i="1"/>
  <c r="K207" i="1" s="1"/>
  <c r="I283" i="1"/>
  <c r="K283" i="1" s="1"/>
  <c r="I189" i="1"/>
  <c r="K189" i="1" s="1"/>
  <c r="I86" i="1"/>
  <c r="K86" i="1" s="1"/>
  <c r="I294" i="1"/>
  <c r="K294" i="1" s="1"/>
  <c r="I134" i="1"/>
  <c r="K134" i="1" s="1"/>
  <c r="I37" i="1"/>
  <c r="K37" i="1" s="1"/>
  <c r="I68" i="1"/>
  <c r="K68" i="1" s="1"/>
  <c r="I264" i="1"/>
  <c r="K264" i="1" s="1"/>
  <c r="I96" i="1"/>
  <c r="K96" i="1" s="1"/>
  <c r="I184" i="1"/>
  <c r="K184" i="1" s="1"/>
  <c r="I288" i="1"/>
  <c r="K288" i="1" s="1"/>
  <c r="I32" i="1"/>
  <c r="K32" i="1" s="1"/>
  <c r="I246" i="1"/>
  <c r="K246" i="1" s="1"/>
  <c r="I196" i="1"/>
  <c r="K196" i="1" s="1"/>
  <c r="I108" i="1"/>
  <c r="K108" i="1" s="1"/>
  <c r="I282" i="1"/>
  <c r="K282" i="1" s="1"/>
  <c r="I298" i="1"/>
  <c r="K298" i="1" s="1"/>
  <c r="I213" i="1"/>
  <c r="K213" i="1" s="1"/>
  <c r="I267" i="1"/>
  <c r="K267" i="1" s="1"/>
  <c r="I8" i="1"/>
  <c r="K8" i="1" s="1"/>
  <c r="I281" i="1"/>
  <c r="K281" i="1" s="1"/>
  <c r="I247" i="1"/>
  <c r="K247" i="1" s="1"/>
  <c r="I268" i="1"/>
  <c r="K268" i="1" s="1"/>
  <c r="I9" i="1"/>
  <c r="K9" i="1" s="1"/>
  <c r="I164" i="1"/>
  <c r="K164" i="1" s="1"/>
  <c r="I183" i="1"/>
  <c r="K183" i="1" s="1"/>
  <c r="I151" i="1"/>
  <c r="K151" i="1" s="1"/>
  <c r="I229" i="1"/>
  <c r="K229" i="1" s="1"/>
  <c r="I82" i="1"/>
  <c r="K82" i="1" s="1"/>
  <c r="I57" i="1"/>
  <c r="K57" i="1" s="1"/>
  <c r="I222" i="1"/>
  <c r="K222" i="1" s="1"/>
  <c r="I94" i="1"/>
  <c r="K94" i="1" s="1"/>
  <c r="I51" i="1"/>
  <c r="K51" i="1" s="1"/>
  <c r="I277" i="1"/>
  <c r="K277" i="1" s="1"/>
  <c r="I77" i="1"/>
  <c r="K77" i="1" s="1"/>
  <c r="I233" i="1"/>
  <c r="K233" i="1" s="1"/>
  <c r="I121" i="1"/>
  <c r="K121" i="1" s="1"/>
  <c r="I261" i="1"/>
  <c r="K261" i="1" s="1"/>
  <c r="I71" i="1"/>
  <c r="K71" i="1" s="1"/>
  <c r="I293" i="1"/>
  <c r="K293" i="1" s="1"/>
  <c r="I131" i="1"/>
  <c r="K131" i="1" s="1"/>
  <c r="I273" i="1"/>
  <c r="K273" i="1" s="1"/>
  <c r="I90" i="1"/>
  <c r="K90" i="1" s="1"/>
  <c r="I241" i="1"/>
  <c r="K241" i="1" s="1"/>
  <c r="I166" i="1"/>
  <c r="K166" i="1" s="1"/>
  <c r="I191" i="1"/>
  <c r="K191" i="1" s="1"/>
  <c r="I10" i="1"/>
  <c r="K10" i="1" s="1"/>
  <c r="I42" i="1"/>
  <c r="K42" i="1" s="1"/>
  <c r="I11" i="1"/>
  <c r="K11" i="1" s="1"/>
  <c r="I208" i="1"/>
  <c r="K208" i="1" s="1"/>
  <c r="I252" i="1"/>
  <c r="K252" i="1" s="1"/>
  <c r="I155" i="1"/>
  <c r="K155" i="1" s="1"/>
  <c r="I38" i="1"/>
  <c r="K38" i="1" s="1"/>
  <c r="I93" i="1"/>
  <c r="K93" i="1" s="1"/>
  <c r="I132" i="1"/>
  <c r="K132" i="1" s="1"/>
  <c r="I188" i="1"/>
  <c r="K188" i="1" s="1"/>
  <c r="I124" i="1"/>
  <c r="K124" i="1" s="1"/>
  <c r="I135" i="1"/>
  <c r="K135" i="1" s="1"/>
  <c r="I289" i="1"/>
  <c r="K289" i="1" s="1"/>
  <c r="I146" i="1"/>
  <c r="K146" i="1" s="1"/>
  <c r="I295" i="1"/>
  <c r="K295" i="1" s="1"/>
  <c r="I44" i="1"/>
  <c r="K44" i="1" s="1"/>
  <c r="I41" i="1"/>
  <c r="K41" i="1" s="1"/>
  <c r="I31" i="1"/>
  <c r="K31" i="1" s="1"/>
  <c r="I178" i="1"/>
  <c r="K178" i="1" s="1"/>
  <c r="I265" i="1"/>
  <c r="K265" i="1" s="1"/>
  <c r="I186" i="1"/>
  <c r="K186" i="1" s="1"/>
  <c r="I130" i="1"/>
  <c r="K130" i="1" s="1"/>
  <c r="I54" i="1"/>
  <c r="K54" i="1" s="1"/>
  <c r="I250" i="1"/>
  <c r="K250" i="1" s="1"/>
  <c r="I118" i="1"/>
  <c r="K118" i="1" s="1"/>
  <c r="I179" i="1"/>
  <c r="K179" i="1" s="1"/>
  <c r="I238" i="1"/>
  <c r="K238" i="1" s="1"/>
  <c r="I79" i="1"/>
  <c r="K79" i="1" s="1"/>
  <c r="I75" i="1"/>
  <c r="K75" i="1" s="1"/>
  <c r="I300" i="1"/>
  <c r="K300" i="1" s="1"/>
  <c r="I211" i="1"/>
  <c r="K211" i="1" s="1"/>
  <c r="I100" i="1"/>
  <c r="K100" i="1" s="1"/>
  <c r="I160" i="1"/>
  <c r="K160" i="1" s="1"/>
  <c r="I239" i="1"/>
  <c r="K239" i="1" s="1"/>
  <c r="I227" i="1"/>
  <c r="K227" i="1" s="1"/>
  <c r="I63" i="1"/>
  <c r="K63" i="1" s="1"/>
  <c r="I226" i="1"/>
  <c r="K226" i="1" s="1"/>
  <c r="I98" i="1"/>
  <c r="K98" i="1" s="1"/>
  <c r="I204" i="1"/>
  <c r="K204" i="1" s="1"/>
  <c r="I284" i="1"/>
  <c r="K284" i="1" s="1"/>
  <c r="I209" i="1"/>
  <c r="K209" i="1" s="1"/>
  <c r="I45" i="1"/>
  <c r="K45" i="1" s="1"/>
  <c r="I200" i="1"/>
  <c r="K200" i="1" s="1"/>
  <c r="I253" i="1"/>
  <c r="K253" i="1" s="1"/>
  <c r="I150" i="1"/>
  <c r="K150" i="1" s="1"/>
  <c r="I28" i="1"/>
  <c r="K28" i="1" s="1"/>
  <c r="I286" i="1"/>
  <c r="K286" i="1" s="1"/>
  <c r="I91" i="1"/>
  <c r="K91" i="1" s="1"/>
  <c r="I269" i="1"/>
  <c r="K269" i="1" s="1"/>
  <c r="I192" i="1"/>
  <c r="K192" i="1" s="1"/>
  <c r="I92" i="1"/>
  <c r="K92" i="1" s="1"/>
  <c r="I27" i="1"/>
  <c r="K27" i="1" s="1"/>
  <c r="I29" i="1"/>
  <c r="K29" i="1" s="1"/>
  <c r="I143" i="1"/>
  <c r="K143" i="1" s="1"/>
  <c r="I62" i="1"/>
  <c r="K62" i="1" s="1"/>
  <c r="I216" i="1"/>
  <c r="K216" i="1" s="1"/>
  <c r="I122" i="1"/>
  <c r="K122" i="1" s="1"/>
  <c r="I194" i="1"/>
  <c r="K194" i="1" s="1"/>
  <c r="I259" i="1"/>
  <c r="K259" i="1" s="1"/>
  <c r="I88" i="1"/>
  <c r="K88" i="1" s="1"/>
  <c r="I58" i="1"/>
  <c r="K58" i="1" s="1"/>
  <c r="I83" i="1"/>
  <c r="K83" i="1" s="1"/>
  <c r="I299" i="1"/>
  <c r="K299" i="1" s="1"/>
  <c r="I243" i="1"/>
  <c r="K243" i="1" s="1"/>
  <c r="I14" i="1"/>
  <c r="K14" i="1" s="1"/>
  <c r="I272" i="1"/>
  <c r="K272" i="1" s="1"/>
  <c r="I145" i="1"/>
  <c r="K145" i="1" s="1"/>
  <c r="I103" i="1"/>
  <c r="K103" i="1" s="1"/>
  <c r="I5" i="1"/>
  <c r="K5" i="1" s="1"/>
  <c r="I36" i="1"/>
  <c r="K36" i="1" s="1"/>
  <c r="I115" i="1"/>
  <c r="K115" i="1" s="1"/>
  <c r="I185" i="1"/>
  <c r="K185" i="1" s="1"/>
  <c r="I195" i="1"/>
  <c r="K195" i="1" s="1"/>
  <c r="I223" i="1"/>
  <c r="K223" i="1" s="1"/>
  <c r="I170" i="1"/>
  <c r="K170" i="1" s="1"/>
  <c r="I187" i="1"/>
  <c r="K187" i="1" s="1"/>
  <c r="I99" i="1"/>
  <c r="K99" i="1" s="1"/>
  <c r="I104" i="1"/>
  <c r="K104" i="1" s="1"/>
  <c r="I120" i="1"/>
  <c r="K120" i="1" s="1"/>
  <c r="I231" i="1"/>
  <c r="K231" i="1" s="1"/>
  <c r="I140" i="1"/>
  <c r="K140" i="1" s="1"/>
  <c r="I181" i="1"/>
  <c r="K181" i="1" s="1"/>
  <c r="I156" i="1"/>
  <c r="K156" i="1" s="1"/>
  <c r="I35" i="1"/>
  <c r="K35" i="1" s="1"/>
  <c r="I15" i="1"/>
  <c r="K15" i="1" s="1"/>
  <c r="I174" i="1"/>
  <c r="K174" i="1" s="1"/>
  <c r="I234" i="1"/>
  <c r="K234" i="1" s="1"/>
  <c r="I153" i="1"/>
  <c r="K153" i="1" s="1"/>
  <c r="I256" i="1"/>
  <c r="K256" i="1" s="1"/>
  <c r="I244" i="1"/>
  <c r="K244" i="1" s="1"/>
  <c r="I78" i="1"/>
  <c r="K78" i="1" s="1"/>
  <c r="I217" i="1"/>
  <c r="K217" i="1" s="1"/>
  <c r="I22" i="1"/>
  <c r="K22" i="1" s="1"/>
  <c r="I176" i="1"/>
  <c r="K176" i="1" s="1"/>
  <c r="I6" i="1"/>
  <c r="K6" i="1" s="1"/>
  <c r="I69" i="1"/>
  <c r="K69" i="1" s="1"/>
  <c r="I66" i="1"/>
  <c r="K66" i="1" s="1"/>
  <c r="I141" i="1"/>
  <c r="K141" i="1" s="1"/>
  <c r="I254" i="1"/>
  <c r="K254" i="1" s="1"/>
  <c r="I210" i="1"/>
  <c r="K210" i="1" s="1"/>
  <c r="I270" i="1"/>
  <c r="K270" i="1" s="1"/>
  <c r="I275" i="1"/>
  <c r="K275" i="1" s="1"/>
  <c r="I157" i="1"/>
  <c r="K157" i="1" s="1"/>
  <c r="I225" i="1"/>
  <c r="K225" i="1" s="1"/>
  <c r="I56" i="1"/>
  <c r="K56" i="1" s="1"/>
  <c r="I144" i="1"/>
  <c r="K144" i="1" s="1"/>
  <c r="I3" i="1"/>
  <c r="K3" i="1" s="1"/>
  <c r="I142" i="1"/>
  <c r="K142" i="1" s="1"/>
  <c r="I81" i="1"/>
  <c r="K81" i="1" s="1"/>
  <c r="I106" i="1"/>
  <c r="K106" i="1" s="1"/>
  <c r="I276" i="1"/>
  <c r="K276" i="1" s="1"/>
  <c r="I110" i="1"/>
  <c r="K110" i="1" s="1"/>
  <c r="I248" i="1"/>
  <c r="K248" i="1" s="1"/>
  <c r="I165" i="1"/>
  <c r="K165" i="1" s="1"/>
  <c r="I95" i="1"/>
  <c r="K95" i="1" s="1"/>
  <c r="I67" i="1"/>
  <c r="K67" i="1" s="1"/>
  <c r="I292" i="1"/>
  <c r="K292" i="1" s="1"/>
  <c r="I116" i="1"/>
  <c r="K116" i="1" s="1"/>
  <c r="I19" i="1"/>
  <c r="K19" i="1" s="1"/>
  <c r="I255" i="1"/>
  <c r="K255" i="1" s="1"/>
  <c r="I266" i="1"/>
  <c r="K266" i="1" s="1"/>
  <c r="I249" i="1"/>
  <c r="K249" i="1" s="1"/>
  <c r="I228" i="1"/>
  <c r="K228" i="1" s="1"/>
  <c r="I49" i="1"/>
  <c r="K49" i="1" s="1"/>
  <c r="I2" i="1"/>
  <c r="K2" i="1" s="1"/>
  <c r="I87" i="1"/>
  <c r="K87" i="1" s="1"/>
  <c r="I190" i="1"/>
  <c r="K190" i="1" s="1"/>
  <c r="I290" i="1"/>
  <c r="K290" i="1" s="1"/>
  <c r="I220" i="1"/>
  <c r="K220" i="1" s="1"/>
  <c r="I161" i="1"/>
  <c r="K161" i="1" s="1"/>
  <c r="I221" i="1"/>
  <c r="K221" i="1" s="1"/>
  <c r="I205" i="1"/>
  <c r="K205" i="1" s="1"/>
  <c r="I169" i="1"/>
  <c r="K169" i="1" s="1"/>
  <c r="I152" i="1"/>
  <c r="K152" i="1" s="1"/>
  <c r="I114" i="1"/>
  <c r="K114" i="1" s="1"/>
  <c r="I16" i="1"/>
  <c r="K16" i="1" s="1"/>
  <c r="I33" i="1"/>
  <c r="K33" i="1" s="1"/>
  <c r="I74" i="1"/>
  <c r="K74" i="1" s="1"/>
  <c r="I240" i="1"/>
  <c r="K240" i="1" s="1"/>
  <c r="I237" i="1"/>
  <c r="K237" i="1" s="1"/>
  <c r="I242" i="1"/>
  <c r="K242" i="1" s="1"/>
  <c r="I52" i="1"/>
  <c r="K52" i="1" s="1"/>
  <c r="I136" i="1"/>
  <c r="K136" i="1" s="1"/>
  <c r="I46" i="1"/>
  <c r="K46" i="1" s="1"/>
  <c r="I53" i="1"/>
  <c r="K53" i="1" s="1"/>
  <c r="I18" i="1"/>
  <c r="K18" i="1" s="1"/>
  <c r="I59" i="1"/>
  <c r="K59" i="1" s="1"/>
  <c r="I129" i="1"/>
  <c r="K129" i="1" s="1"/>
  <c r="I280" i="1"/>
  <c r="K280" i="1" s="1"/>
  <c r="I163" i="1"/>
  <c r="K163" i="1" s="1"/>
  <c r="I296" i="1"/>
  <c r="K296" i="1" s="1"/>
  <c r="I201" i="1"/>
  <c r="K201" i="1" s="1"/>
  <c r="I102" i="1"/>
  <c r="K102" i="1" s="1"/>
  <c r="I301" i="1"/>
  <c r="K301" i="1" s="1"/>
  <c r="I168" i="1"/>
  <c r="K168" i="1" s="1"/>
  <c r="I279" i="1"/>
  <c r="K279" i="1" s="1"/>
  <c r="I23" i="1"/>
  <c r="K23" i="1" s="1"/>
  <c r="I278" i="1"/>
  <c r="K278" i="1" s="1"/>
  <c r="I20" i="1"/>
  <c r="K20" i="1" s="1"/>
  <c r="I230" i="1"/>
  <c r="K230" i="1" s="1"/>
  <c r="I111" i="1"/>
  <c r="K111" i="1" s="1"/>
  <c r="I212" i="1"/>
  <c r="K212" i="1" s="1"/>
  <c r="I219" i="1"/>
  <c r="K219" i="1" s="1"/>
  <c r="I73" i="1"/>
  <c r="K73" i="1" s="1"/>
  <c r="I139" i="1"/>
  <c r="K139" i="1" s="1"/>
  <c r="I251" i="1"/>
  <c r="K251" i="1" s="1"/>
  <c r="I64" i="1"/>
  <c r="K64" i="1" s="1"/>
  <c r="I202" i="1"/>
  <c r="K202" i="1" s="1"/>
  <c r="I89" i="1"/>
  <c r="I24" i="1"/>
  <c r="I4" i="1"/>
  <c r="I171" i="1"/>
  <c r="I12" i="1"/>
  <c r="I159" i="1"/>
  <c r="I285" i="1"/>
  <c r="I218" i="1"/>
  <c r="I175" i="1"/>
  <c r="I257" i="1"/>
  <c r="I271" i="1"/>
  <c r="I128" i="1"/>
  <c r="I198" i="1"/>
  <c r="I25" i="1"/>
  <c r="I125" i="1"/>
  <c r="I235" i="1"/>
  <c r="I214" i="1"/>
  <c r="I21" i="1"/>
  <c r="I101" i="1"/>
  <c r="I113" i="1"/>
  <c r="I287" i="1"/>
  <c r="I13" i="1"/>
  <c r="I193" i="1"/>
  <c r="I70" i="1"/>
  <c r="I80" i="1"/>
  <c r="I245" i="1"/>
  <c r="I17" i="1"/>
  <c r="I60" i="1"/>
  <c r="I232" i="1"/>
  <c r="I97" i="1"/>
  <c r="K97" i="1" s="1"/>
  <c r="I158" i="1"/>
  <c r="I123" i="1"/>
  <c r="I148" i="1"/>
  <c r="I203" i="1"/>
  <c r="I7" i="1"/>
  <c r="I215" i="1"/>
  <c r="I197" i="1"/>
  <c r="I274" i="1"/>
  <c r="I39" i="1"/>
  <c r="I180" i="1"/>
  <c r="I297" i="1"/>
  <c r="I167" i="1"/>
  <c r="I30" i="1"/>
  <c r="I162" i="1"/>
  <c r="I291" i="1"/>
  <c r="I61" i="1"/>
  <c r="I55" i="1"/>
  <c r="I172" i="1"/>
  <c r="I236" i="1"/>
  <c r="I85" i="1"/>
  <c r="Q5" i="10"/>
  <c r="P5" i="10"/>
  <c r="E18" i="6" l="1"/>
  <c r="O18" i="6"/>
  <c r="J18" i="6"/>
  <c r="N18" i="6"/>
  <c r="K18" i="6"/>
  <c r="D18" i="6"/>
  <c r="M18" i="6"/>
  <c r="I18" i="6"/>
  <c r="Q18" i="6"/>
  <c r="C18" i="6"/>
  <c r="L18" i="6"/>
  <c r="F18" i="6"/>
  <c r="G18" i="6"/>
  <c r="H18" i="6"/>
  <c r="P18" i="6"/>
  <c r="B18" i="6"/>
  <c r="R10" i="6"/>
  <c r="R9" i="6"/>
  <c r="R8" i="6"/>
  <c r="R11" i="6"/>
  <c r="R17" i="6"/>
  <c r="R15" i="6"/>
  <c r="R13" i="6"/>
  <c r="R16" i="6"/>
  <c r="R12" i="6"/>
  <c r="R14" i="6"/>
  <c r="R7" i="6"/>
  <c r="K123" i="1"/>
  <c r="K101" i="1"/>
  <c r="K235" i="1"/>
  <c r="K159" i="1"/>
  <c r="K232" i="1"/>
  <c r="K60" i="1"/>
  <c r="K171" i="1"/>
  <c r="K125" i="1"/>
  <c r="K167" i="1"/>
  <c r="K21" i="1"/>
  <c r="K12" i="1"/>
  <c r="K236" i="1"/>
  <c r="K198" i="1"/>
  <c r="K89" i="1"/>
  <c r="K55" i="1"/>
  <c r="K215" i="1"/>
  <c r="K4" i="1"/>
  <c r="K39" i="1"/>
  <c r="K197" i="1"/>
  <c r="K80" i="1"/>
  <c r="K7" i="1"/>
  <c r="K193" i="1"/>
  <c r="K85" i="1"/>
  <c r="K24" i="1"/>
  <c r="K61" i="1"/>
  <c r="K175" i="1"/>
  <c r="K297" i="1"/>
  <c r="K214" i="1"/>
  <c r="K148" i="1"/>
  <c r="K271" i="1"/>
  <c r="K203" i="1"/>
  <c r="K17" i="1"/>
  <c r="K274" i="1"/>
  <c r="K245" i="1"/>
  <c r="K25" i="1"/>
  <c r="K172" i="1"/>
  <c r="K128" i="1"/>
  <c r="K291" i="1"/>
  <c r="K287" i="1"/>
  <c r="K180" i="1"/>
  <c r="K70" i="1"/>
  <c r="K257" i="1"/>
  <c r="K162" i="1"/>
  <c r="K113" i="1"/>
  <c r="K218" i="1"/>
  <c r="K13" i="1"/>
  <c r="K30" i="1"/>
  <c r="K158" i="1"/>
  <c r="K285" i="1"/>
  <c r="R18" i="6" l="1"/>
</calcChain>
</file>

<file path=xl/sharedStrings.xml><?xml version="1.0" encoding="utf-8"?>
<sst xmlns="http://schemas.openxmlformats.org/spreadsheetml/2006/main" count="2030" uniqueCount="401">
  <si>
    <t>Date</t>
  </si>
  <si>
    <t>Product</t>
  </si>
  <si>
    <t>T046</t>
  </si>
  <si>
    <t>Neha</t>
  </si>
  <si>
    <t>Headphones</t>
  </si>
  <si>
    <t>T047</t>
  </si>
  <si>
    <t>Sneha</t>
  </si>
  <si>
    <t>T048</t>
  </si>
  <si>
    <t>Karan</t>
  </si>
  <si>
    <t>T049</t>
  </si>
  <si>
    <t>Anita</t>
  </si>
  <si>
    <t>T050</t>
  </si>
  <si>
    <t>T041</t>
  </si>
  <si>
    <t>Keyboard</t>
  </si>
  <si>
    <t>T042</t>
  </si>
  <si>
    <t>Vikram</t>
  </si>
  <si>
    <t>T043</t>
  </si>
  <si>
    <t>T044</t>
  </si>
  <si>
    <t>T045</t>
  </si>
  <si>
    <t>T037</t>
  </si>
  <si>
    <t>Laptop</t>
  </si>
  <si>
    <t>T038</t>
  </si>
  <si>
    <t>Sneha Gupta</t>
  </si>
  <si>
    <t>T039</t>
  </si>
  <si>
    <t>Rahul</t>
  </si>
  <si>
    <t>T040</t>
  </si>
  <si>
    <t>Shivam</t>
  </si>
  <si>
    <t>T031</t>
  </si>
  <si>
    <t>Monitor</t>
  </si>
  <si>
    <t>T032</t>
  </si>
  <si>
    <t>T033</t>
  </si>
  <si>
    <t>Pooja</t>
  </si>
  <si>
    <t>T034</t>
  </si>
  <si>
    <t>T035</t>
  </si>
  <si>
    <t>T036</t>
  </si>
  <si>
    <t>Priya Gupta</t>
  </si>
  <si>
    <t>T025</t>
  </si>
  <si>
    <t>Mouse</t>
  </si>
  <si>
    <t>T026</t>
  </si>
  <si>
    <t>T027</t>
  </si>
  <si>
    <t>T028</t>
  </si>
  <si>
    <t>T029</t>
  </si>
  <si>
    <t>T030</t>
  </si>
  <si>
    <t>T021</t>
  </si>
  <si>
    <t>Printer</t>
  </si>
  <si>
    <t>T022</t>
  </si>
  <si>
    <t>T023</t>
  </si>
  <si>
    <t>T024</t>
  </si>
  <si>
    <t>T012</t>
  </si>
  <si>
    <t>Tablet</t>
  </si>
  <si>
    <t>T013</t>
  </si>
  <si>
    <t>Priya</t>
  </si>
  <si>
    <t>T014</t>
  </si>
  <si>
    <t>T015</t>
  </si>
  <si>
    <t>T016</t>
  </si>
  <si>
    <t>T017</t>
  </si>
  <si>
    <t>T018</t>
  </si>
  <si>
    <t>T019</t>
  </si>
  <si>
    <t>T020</t>
  </si>
  <si>
    <t>T001</t>
  </si>
  <si>
    <t>Webcam</t>
  </si>
  <si>
    <t>T002</t>
  </si>
  <si>
    <t>T003</t>
  </si>
  <si>
    <t>T004</t>
  </si>
  <si>
    <t>T005</t>
  </si>
  <si>
    <t>T006</t>
  </si>
  <si>
    <t>T007</t>
  </si>
  <si>
    <t>T008</t>
  </si>
  <si>
    <t>T009</t>
  </si>
  <si>
    <t>T010</t>
  </si>
  <si>
    <t>T011</t>
  </si>
  <si>
    <t>Payment Method</t>
  </si>
  <si>
    <t>Cash</t>
  </si>
  <si>
    <t>Online</t>
  </si>
  <si>
    <t>Grand Total</t>
  </si>
  <si>
    <t>Buying Price</t>
  </si>
  <si>
    <t>Selling Price</t>
  </si>
  <si>
    <t>Unit Sold</t>
  </si>
  <si>
    <t>Customer name</t>
  </si>
  <si>
    <t>Transaction ID</t>
  </si>
  <si>
    <t>Total Sales</t>
  </si>
  <si>
    <t>Sum of Total Sales</t>
  </si>
  <si>
    <t>Total Buying</t>
  </si>
  <si>
    <t>Cash Total</t>
  </si>
  <si>
    <t>Online Total</t>
  </si>
  <si>
    <t>Profit</t>
  </si>
  <si>
    <t>Sum of Profit</t>
  </si>
  <si>
    <t>Total Profit</t>
  </si>
  <si>
    <t>Customer name/Product</t>
  </si>
  <si>
    <t>Total</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</si>
  <si>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</si>
  <si>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</si>
  <si>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</si>
  <si>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</si>
  <si>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</si>
  <si>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</si>
  <si>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</si>
  <si>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</si>
  <si>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</si>
  <si>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</si>
  <si>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</si>
  <si>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</si>
  <si>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</si>
  <si>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</si>
  <si>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</si>
  <si>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</si>
  <si>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</si>
  <si>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</si>
  <si>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</si>
  <si>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</si>
  <si>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</si>
  <si>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</si>
  <si>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</si>
  <si>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</si>
  <si>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</si>
  <si>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</si>
  <si>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</si>
  <si>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</si>
  <si>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</si>
  <si>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</si>
  <si>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</si>
  <si>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</si>
  <si>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</si>
  <si>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</si>
  <si>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</si>
  <si>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</si>
  <si>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</si>
  <si>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</si>
  <si>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</si>
  <si>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</si>
  <si>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</si>
  <si>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</si>
  <si>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</si>
  <si>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</si>
  <si>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</si>
  <si>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</si>
  <si>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</si>
  <si>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</si>
  <si>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</si>
  <si>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</si>
  <si>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</si>
  <si>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</si>
  <si>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</si>
  <si>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</si>
  <si>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</si>
  <si>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</si>
  <si>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</si>
  <si>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</si>
  <si>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</si>
  <si>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</si>
  <si>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</si>
  <si>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</si>
  <si>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</si>
  <si>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</si>
  <si>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</si>
  <si>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</si>
  <si>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</si>
  <si>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</si>
  <si>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</si>
  <si>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</si>
  <si>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</si>
  <si>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</si>
  <si>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</si>
  <si>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</si>
  <si>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</si>
  <si>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</si>
  <si>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</si>
  <si>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</si>
  <si>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</si>
  <si>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</si>
  <si>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</si>
  <si>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</si>
  <si>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</si>
  <si>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</si>
  <si>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</si>
  <si>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</si>
  <si>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</si>
  <si>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</si>
  <si>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</si>
  <si>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</si>
  <si>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</si>
  <si>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</si>
  <si>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</si>
  <si>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</si>
  <si>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</si>
  <si>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</si>
  <si>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</si>
  <si>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</si>
  <si>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</si>
  <si>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</si>
  <si>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</si>
  <si>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</si>
  <si>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</si>
  <si>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</si>
  <si>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</si>
  <si>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</si>
  <si>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</si>
  <si>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</si>
  <si>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</si>
  <si>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</si>
  <si>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</si>
  <si>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</si>
  <si>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</si>
  <si>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</si>
  <si>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</si>
  <si>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</si>
  <si>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</si>
  <si>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</si>
  <si>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</si>
  <si>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</si>
  <si>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</si>
  <si>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</si>
  <si>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</si>
  <si>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</si>
  <si>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</si>
  <si>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</si>
  <si>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</si>
  <si>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</si>
  <si>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</si>
  <si>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</si>
  <si>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</si>
  <si>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</si>
  <si>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</si>
  <si>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</si>
  <si>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</si>
  <si>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</si>
  <si>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</si>
  <si>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</si>
  <si>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</si>
  <si>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</si>
  <si>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</si>
  <si>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</si>
  <si>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</si>
  <si>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</si>
  <si>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</si>
  <si>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</si>
  <si>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</si>
  <si>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</si>
  <si>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</si>
  <si>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</si>
  <si>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</si>
  <si>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</si>
  <si>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</si>
  <si>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</si>
  <si>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</si>
  <si>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</si>
  <si>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</si>
  <si>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</si>
  <si>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</si>
  <si>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</si>
  <si>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</si>
  <si>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</si>
  <si>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</si>
  <si>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</si>
  <si>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</si>
  <si>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</si>
  <si>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</si>
  <si>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</si>
  <si>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</si>
  <si>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</si>
  <si>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</si>
  <si>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</si>
  <si>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</si>
  <si>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</si>
  <si>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</si>
  <si>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</si>
  <si>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</si>
  <si>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</si>
  <si>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</si>
  <si>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</si>
  <si>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</si>
  <si>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</si>
  <si>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</si>
  <si>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</si>
  <si>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</si>
  <si>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</si>
  <si>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</si>
  <si>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</si>
  <si>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</si>
  <si>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</si>
  <si>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</si>
  <si>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</si>
  <si>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</si>
  <si>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</si>
  <si>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</si>
  <si>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</si>
  <si>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</si>
  <si>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</si>
  <si>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</si>
  <si>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</si>
  <si>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</si>
  <si>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</si>
  <si>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</si>
  <si>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</si>
  <si>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</si>
  <si>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</si>
  <si>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</si>
  <si>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</si>
  <si>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</si>
  <si>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</si>
  <si>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</si>
  <si>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</si>
  <si>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</si>
  <si>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</si>
  <si>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</si>
  <si>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</si>
  <si>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</si>
  <si>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</si>
  <si>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</si>
  <si>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</si>
  <si>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</si>
  <si>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</si>
  <si>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</si>
  <si>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</si>
  <si>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</si>
  <si>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</si>
  <si>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</si>
  <si>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</si>
  <si>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</si>
  <si>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</si>
  <si>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</si>
  <si>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</si>
  <si>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</si>
  <si>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</si>
  <si>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</si>
  <si>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</si>
  <si>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</si>
  <si>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</si>
  <si>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</si>
  <si>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</si>
  <si>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</si>
  <si>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</si>
  <si>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</si>
  <si>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</si>
  <si>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</si>
  <si>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</si>
  <si>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T297</t>
  </si>
  <si>
    <t>T298</t>
  </si>
  <si>
    <t>T299</t>
  </si>
  <si>
    <t>T300</t>
  </si>
  <si>
    <t>Row Labels</t>
  </si>
  <si>
    <t>States</t>
  </si>
  <si>
    <t>City</t>
  </si>
  <si>
    <t>Uttar Pradesh</t>
  </si>
  <si>
    <t>Kanpur</t>
  </si>
  <si>
    <t>Tamil Nadu</t>
  </si>
  <si>
    <t>Chennai</t>
  </si>
  <si>
    <t>Trichy</t>
  </si>
  <si>
    <t>Delhi</t>
  </si>
  <si>
    <t>Dwarka</t>
  </si>
  <si>
    <t>Madurai</t>
  </si>
  <si>
    <t>Gujarat</t>
  </si>
  <si>
    <t>Jamnagar</t>
  </si>
  <si>
    <t>Rajkot</t>
  </si>
  <si>
    <t>Saket</t>
  </si>
  <si>
    <t>Karnataka</t>
  </si>
  <si>
    <t>Mysuru</t>
  </si>
  <si>
    <t>Mangaluru</t>
  </si>
  <si>
    <t>Coimbatore</t>
  </si>
  <si>
    <t>Surat</t>
  </si>
  <si>
    <t>Noida</t>
  </si>
  <si>
    <t>Ahmedabad</t>
  </si>
  <si>
    <t>Bhavnagar</t>
  </si>
  <si>
    <t>Bengaluru</t>
  </si>
  <si>
    <t>Maharashtra</t>
  </si>
  <si>
    <t>Nashik</t>
  </si>
  <si>
    <t>Lucknow</t>
  </si>
  <si>
    <t>New Delhi</t>
  </si>
  <si>
    <t>Mumbai</t>
  </si>
  <si>
    <t>Varanasi</t>
  </si>
  <si>
    <t>Salem</t>
  </si>
  <si>
    <t>Thane</t>
  </si>
  <si>
    <t>Hubballi</t>
  </si>
  <si>
    <t>Karol Bagh</t>
  </si>
  <si>
    <t>Davanagere</t>
  </si>
  <si>
    <t>Tirunelveli</t>
  </si>
  <si>
    <t>Agra</t>
  </si>
  <si>
    <t>Rohini</t>
  </si>
  <si>
    <t>Pune</t>
  </si>
  <si>
    <t>Belagavi</t>
  </si>
  <si>
    <t>Vadodara</t>
  </si>
  <si>
    <t>Ghaziabad</t>
  </si>
  <si>
    <t>Aurangabad</t>
  </si>
  <si>
    <t>Nagpur</t>
  </si>
  <si>
    <t>Connaught Place</t>
  </si>
  <si>
    <t>Month</t>
  </si>
  <si>
    <t>Delhi Total</t>
  </si>
  <si>
    <t>Gujarat Total</t>
  </si>
  <si>
    <t>Karnataka Total</t>
  </si>
  <si>
    <t>Maharashtra Total</t>
  </si>
  <si>
    <t>Tamil Nadu Total</t>
  </si>
  <si>
    <t>Uttar Pradesh Total</t>
  </si>
  <si>
    <t xml:space="preserve"> Total Buying</t>
  </si>
  <si>
    <t>KPIs</t>
  </si>
  <si>
    <t>Top Product</t>
  </si>
  <si>
    <t>Top Customer</t>
  </si>
  <si>
    <t>DRW - Dashboard Row Work</t>
  </si>
  <si>
    <t>Sheet 2 button</t>
  </si>
  <si>
    <t>Payment type by Customer Revenue Report</t>
  </si>
  <si>
    <t>Payment type by Product Revenue Report</t>
  </si>
  <si>
    <t>State by City Revenue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</si>
</sst>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mm/dd/yy;@"/>
    <numFmt numFmtId="165" formatCode="[$₹-439]#,##0.00"/>
    <numFmt numFmtId="166" formatCode="[$₹-439]#,##0"/>
  </numFmts>
  <fonts count="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s>
  <fills count="13">
    <fill>
      <patternFill patternType="none"/>
    </fill>
    <fill>
      <patternFill patternType="gray125"/>
    </fill>
    <fill>
      <patternFill patternType="solid">
        <fgColor theme="6"/>
        <bgColor indexed="64"/>
      </patternFill>
    </fill>
    <fill>
      <patternFill patternType="solid">
        <fgColor theme="0" tint="-0.14999847407452621"/>
        <bgColor theme="0" tint="-0.14999847407452621"/>
      </patternFill>
    </fill>
    <fill>
      <patternFill patternType="solid">
        <fgColor theme="0" tint="-0.34998626667073579"/>
        <bgColor theme="0" tint="-0.34998626667073579"/>
      </patternFill>
    </fill>
    <fill>
      <patternFill patternType="solid">
        <fgColor theme="3"/>
        <bgColor indexed="64"/>
      </patternFill>
    </fill>
    <fill>
      <patternFill patternType="solid">
        <fgColor theme="3" tint="-0.499984740745262"/>
        <bgColor indexed="64"/>
      </patternFill>
    </fill>
    <fill>
      <patternFill patternType="solid">
        <fgColor theme="4" tint="-0.249977111117893"/>
        <bgColor indexed="64"/>
      </patternFill>
    </fill>
    <fill>
      <patternFill patternType="solid">
        <fgColor theme="3" tint="0.39997558519241921"/>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2" tint="-0.249977111117893"/>
        <bgColor indexed="64"/>
      </patternFill>
    </fill>
    <fill>
      <patternFill patternType="solid">
        <fgColor theme="2" tint="-0.89999084444715716"/>
        <bgColor indexed="64"/>
      </patternFill>
    </fill>
  </fills>
  <borders count="19">
    <border>
      <left/>
      <right/>
      <top/>
      <bottom/>
      <diagonal/>
    </border>
    <border>
      <left style="thin">
        <color theme="1"/>
      </left>
      <right style="thin">
        <color theme="1"/>
      </right>
      <top style="thin">
        <color theme="1"/>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theme="1"/>
      </left>
      <right/>
      <top style="thin">
        <color theme="1"/>
      </top>
      <bottom/>
      <diagonal/>
    </border>
    <border>
      <left style="thin">
        <color theme="1"/>
      </left>
      <right style="thin">
        <color theme="1"/>
      </right>
      <top style="thin">
        <color theme="1"/>
      </top>
      <bottom/>
      <diagonal/>
    </border>
    <border>
      <left style="thin">
        <color theme="1"/>
      </left>
      <right/>
      <top style="thin">
        <color theme="1"/>
      </top>
      <bottom style="thin">
        <color theme="3"/>
      </bottom>
      <diagonal/>
    </border>
    <border>
      <left style="thin">
        <color theme="1"/>
      </left>
      <right/>
      <top style="thin">
        <color theme="1"/>
      </top>
      <bottom style="thin">
        <color theme="1"/>
      </bottom>
      <diagonal/>
    </border>
    <border>
      <left style="thin">
        <color theme="1"/>
      </left>
      <right/>
      <top/>
      <bottom/>
      <diagonal/>
    </border>
    <border>
      <left style="thin">
        <color theme="1"/>
      </left>
      <right style="thin">
        <color theme="1"/>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61">
    <xf numFmtId="0" fontId="0" fillId="0" borderId="0" xfId="0"/>
    <xf numFmtId="165" fontId="0" fillId="0" borderId="0" xfId="1" applyNumberFormat="1" applyFont="1"/>
    <xf numFmtId="165" fontId="0" fillId="0" borderId="0" xfId="0" applyNumberFormat="1"/>
    <xf numFmtId="0" fontId="2" fillId="5" borderId="0" xfId="0" applyFont="1" applyFill="1"/>
    <xf numFmtId="0" fontId="2" fillId="6" borderId="0" xfId="0" applyFont="1" applyFill="1" applyAlignment="1">
      <alignment horizontal="center" vertical="center"/>
    </xf>
    <xf numFmtId="0" fontId="4" fillId="7" borderId="5" xfId="0" applyFont="1" applyFill="1" applyBorder="1"/>
    <xf numFmtId="0" fontId="4" fillId="7" borderId="0" xfId="0" applyFont="1" applyFill="1"/>
    <xf numFmtId="0" fontId="4" fillId="7" borderId="6" xfId="0" applyFont="1" applyFill="1" applyBorder="1"/>
    <xf numFmtId="0" fontId="0" fillId="4" borderId="8" xfId="0" applyFill="1" applyBorder="1"/>
    <xf numFmtId="14" fontId="0" fillId="4" borderId="8" xfId="0" applyNumberFormat="1" applyFill="1" applyBorder="1"/>
    <xf numFmtId="165" fontId="0" fillId="4" borderId="8" xfId="1" applyNumberFormat="1" applyFont="1" applyFill="1" applyBorder="1"/>
    <xf numFmtId="165" fontId="0" fillId="4" borderId="9" xfId="0" applyNumberFormat="1" applyFill="1" applyBorder="1"/>
    <xf numFmtId="0" fontId="0" fillId="3" borderId="8" xfId="0" applyFill="1" applyBorder="1"/>
    <xf numFmtId="14" fontId="0" fillId="3" borderId="8" xfId="0" applyNumberFormat="1" applyFill="1" applyBorder="1"/>
    <xf numFmtId="165" fontId="0" fillId="3" borderId="8" xfId="1" applyNumberFormat="1" applyFont="1" applyFill="1" applyBorder="1"/>
    <xf numFmtId="165" fontId="0" fillId="3" borderId="9" xfId="0" applyNumberFormat="1" applyFill="1" applyBorder="1"/>
    <xf numFmtId="0" fontId="0" fillId="3" borderId="10" xfId="0" applyFill="1" applyBorder="1"/>
    <xf numFmtId="14" fontId="0" fillId="3" borderId="10" xfId="0" applyNumberFormat="1" applyFill="1" applyBorder="1"/>
    <xf numFmtId="165" fontId="0" fillId="3" borderId="10" xfId="1" applyNumberFormat="1" applyFont="1" applyFill="1" applyBorder="1"/>
    <xf numFmtId="0" fontId="0" fillId="3" borderId="11" xfId="0" applyFill="1" applyBorder="1"/>
    <xf numFmtId="165" fontId="0" fillId="3" borderId="1" xfId="0" applyNumberFormat="1" applyFill="1" applyBorder="1"/>
    <xf numFmtId="0" fontId="3" fillId="8" borderId="0" xfId="0" applyFont="1" applyFill="1"/>
    <xf numFmtId="165" fontId="3" fillId="8" borderId="0" xfId="0" applyNumberFormat="1" applyFont="1" applyFill="1"/>
    <xf numFmtId="0" fontId="3" fillId="2" borderId="12" xfId="0" applyFont="1" applyFill="1" applyBorder="1" applyAlignment="1">
      <alignment horizontal="left" vertical="top"/>
    </xf>
    <xf numFmtId="164" fontId="3" fillId="2" borderId="12" xfId="0" applyNumberFormat="1" applyFont="1" applyFill="1" applyBorder="1" applyAlignment="1">
      <alignment horizontal="center" vertical="top"/>
    </xf>
    <xf numFmtId="165" fontId="3" fillId="2" borderId="12" xfId="1" applyNumberFormat="1" applyFont="1" applyFill="1" applyBorder="1" applyAlignment="1">
      <alignment horizontal="left" vertical="top"/>
    </xf>
    <xf numFmtId="0" fontId="3" fillId="2" borderId="13" xfId="0" applyFont="1" applyFill="1" applyBorder="1" applyAlignment="1">
      <alignment horizontal="left" vertical="top"/>
    </xf>
    <xf numFmtId="0" fontId="0" fillId="0" borderId="0" xfId="0" pivotButton="1"/>
    <xf numFmtId="0" fontId="0" fillId="0" borderId="0" xfId="0" applyAlignment="1">
      <alignment horizontal="left"/>
    </xf>
    <xf numFmtId="0" fontId="3" fillId="2" borderId="0" xfId="0" applyFont="1" applyFill="1" applyAlignment="1">
      <alignment horizontal="left" vertical="top"/>
    </xf>
    <xf numFmtId="0" fontId="0" fillId="4" borderId="10" xfId="0" applyFill="1" applyBorder="1"/>
    <xf numFmtId="14" fontId="0" fillId="4" borderId="10" xfId="0" applyNumberFormat="1" applyFill="1" applyBorder="1"/>
    <xf numFmtId="0" fontId="0" fillId="4" borderId="11" xfId="0" applyFill="1" applyBorder="1"/>
    <xf numFmtId="165" fontId="0" fillId="4" borderId="10" xfId="1" applyNumberFormat="1" applyFont="1" applyFill="1" applyBorder="1"/>
    <xf numFmtId="165" fontId="0" fillId="4" borderId="1" xfId="0" applyNumberFormat="1" applyFill="1" applyBorder="1"/>
    <xf numFmtId="165" fontId="0" fillId="3" borderId="8" xfId="0" applyNumberFormat="1" applyFill="1" applyBorder="1"/>
    <xf numFmtId="165" fontId="0" fillId="4" borderId="8" xfId="0" applyNumberFormat="1" applyFill="1" applyBorder="1"/>
    <xf numFmtId="165" fontId="0" fillId="3" borderId="10" xfId="0" applyNumberFormat="1" applyFill="1" applyBorder="1"/>
    <xf numFmtId="165" fontId="0" fillId="4" borderId="10" xfId="0" applyNumberFormat="1" applyFill="1" applyBorder="1"/>
    <xf numFmtId="165" fontId="0" fillId="0" borderId="15" xfId="0" applyNumberFormat="1" applyBorder="1"/>
    <xf numFmtId="166" fontId="3" fillId="9" borderId="16" xfId="0" applyNumberFormat="1" applyFont="1" applyFill="1" applyBorder="1"/>
    <xf numFmtId="0" fontId="2" fillId="6" borderId="0" xfId="0" applyFont="1" applyFill="1" applyAlignment="1">
      <alignment horizontal="center" vertical="center" wrapText="1"/>
    </xf>
    <xf numFmtId="0" fontId="5" fillId="6" borderId="0" xfId="0" applyFont="1" applyFill="1" applyAlignment="1">
      <alignment horizontal="center" vertical="center"/>
    </xf>
    <xf numFmtId="0" fontId="5" fillId="7" borderId="2" xfId="0" applyFont="1" applyFill="1" applyBorder="1" applyAlignment="1">
      <alignment horizontal="center" vertical="center"/>
    </xf>
    <xf numFmtId="0" fontId="5" fillId="7" borderId="3"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7"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7" xfId="0" applyFont="1" applyFill="1" applyBorder="1" applyAlignment="1">
      <alignment horizontal="center" vertical="center"/>
    </xf>
    <xf numFmtId="0" fontId="2" fillId="6" borderId="5" xfId="0" applyFont="1" applyFill="1" applyBorder="1" applyAlignment="1">
      <alignment horizontal="center" vertical="center" wrapText="1"/>
    </xf>
    <xf numFmtId="0" fontId="2" fillId="6" borderId="0"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0" fillId="0" borderId="0" xfId="0" applyBorder="1"/>
    <xf numFmtId="0" fontId="5" fillId="7" borderId="5" xfId="0" applyFont="1" applyFill="1" applyBorder="1" applyAlignment="1">
      <alignment horizontal="center" vertical="center"/>
    </xf>
    <xf numFmtId="0" fontId="5" fillId="7" borderId="0" xfId="0" applyFont="1" applyFill="1" applyBorder="1" applyAlignment="1">
      <alignment horizontal="center" vertical="center"/>
    </xf>
    <xf numFmtId="0" fontId="5" fillId="7" borderId="6" xfId="0" applyFont="1" applyFill="1" applyBorder="1" applyAlignment="1">
      <alignment horizontal="center" vertical="center"/>
    </xf>
    <xf numFmtId="0" fontId="2" fillId="7" borderId="15" xfId="0" applyFont="1" applyFill="1" applyBorder="1"/>
    <xf numFmtId="0" fontId="0" fillId="0" borderId="15" xfId="0" applyBorder="1"/>
    <xf numFmtId="0" fontId="3" fillId="10" borderId="15" xfId="0" applyFont="1" applyFill="1" applyBorder="1" applyAlignment="1">
      <alignment horizontal="center"/>
    </xf>
    <xf numFmtId="165" fontId="0" fillId="11" borderId="15" xfId="0" applyNumberFormat="1" applyFill="1" applyBorder="1"/>
    <xf numFmtId="165" fontId="2" fillId="12" borderId="18" xfId="0" applyNumberFormat="1" applyFont="1" applyFill="1" applyBorder="1"/>
  </cellXfs>
  <cellStyles count="2">
    <cellStyle name="Currency" xfId="1" builtinId="4"/>
    <cellStyle name="Normal" xfId="0" builtinId="0"/>
  </cellStyles>
  <dxfs count="15">
    <dxf>
      <font>
        <color rgb="FF9C0006"/>
      </font>
      <fill>
        <patternFill>
          <bgColor rgb="FFFFC7CE"/>
        </patternFill>
      </fill>
    </dxf>
    <dxf>
      <font>
        <color rgb="FF9C5700"/>
      </font>
      <fill>
        <patternFill>
          <bgColor rgb="FFFFEB9C"/>
        </patternFill>
      </fill>
    </dxf>
    <dxf>
      <font>
        <color rgb="FF9C0006"/>
      </font>
      <fill>
        <patternFill>
          <bgColor rgb="FFFFC7CE"/>
        </patternFill>
      </fill>
    </dxf>
    <dxf>
      <numFmt numFmtId="165" formatCode="[$₹-439]#,##0.00"/>
      <fill>
        <patternFill patternType="solid">
          <fgColor theme="0" tint="-0.34998626667073579"/>
          <bgColor theme="0" tint="-0.34998626667073579"/>
        </patternFill>
      </fill>
      <border diagonalUp="0" diagonalDown="0">
        <left style="thin">
          <color theme="1"/>
        </left>
        <right style="thin">
          <color theme="1"/>
        </right>
        <top style="thin">
          <color theme="1"/>
        </top>
        <bottom/>
        <vertical/>
        <horizontal/>
      </border>
    </dxf>
    <dxf>
      <numFmt numFmtId="165" formatCode="[$₹-439]#,##0.00"/>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numFmt numFmtId="165" formatCode="[$₹-439]#,##0.00"/>
      <fill>
        <patternFill patternType="solid">
          <fgColor theme="0" tint="-0.14999847407452621"/>
          <bgColor theme="0" tint="-0.14999847407452621"/>
        </patternFill>
      </fill>
      <border diagonalUp="0" diagonalDown="0">
        <left style="thin">
          <color theme="1"/>
        </left>
        <right/>
        <top style="thin">
          <color theme="1"/>
        </top>
        <bottom style="thin">
          <color theme="3"/>
        </bottom>
        <vertical/>
        <horizontal/>
      </border>
    </dxf>
    <dxf>
      <numFmt numFmtId="165" formatCode="[$₹-439]#,##0.00"/>
    </dxf>
    <dxf>
      <font>
        <b val="0"/>
        <i val="0"/>
        <strike val="0"/>
        <condense val="0"/>
        <extend val="0"/>
        <outline val="0"/>
        <shadow val="0"/>
        <u val="none"/>
        <vertAlign val="baseline"/>
        <sz val="11"/>
        <color theme="1"/>
        <name val="Calibri"/>
        <family val="2"/>
        <scheme val="minor"/>
      </font>
      <numFmt numFmtId="165" formatCode="[$₹-439]#,##0.00"/>
    </dxf>
    <dxf>
      <numFmt numFmtId="165" formatCode="[$₹-439]#,##0.00"/>
      <fill>
        <patternFill patternType="solid">
          <fgColor theme="0" tint="-0.14999847407452621"/>
          <bgColor theme="0" tint="-0.14999847407452621"/>
        </patternFill>
      </fill>
      <border diagonalUp="0" diagonalDown="0">
        <left style="thin">
          <color theme="1"/>
        </left>
        <right/>
        <top style="thin">
          <color theme="1"/>
        </top>
        <bottom style="thin">
          <color theme="3"/>
        </bottom>
        <vertical/>
        <horizontal/>
      </border>
    </dxf>
    <dxf>
      <numFmt numFmtId="165" formatCode="[$₹-439]#,##0.00"/>
    </dxf>
    <dxf>
      <numFmt numFmtId="165" formatCode="[$₹-439]#,##0.00"/>
    </dxf>
    <dxf>
      <fill>
        <patternFill patternType="solid">
          <fgColor theme="0" tint="-0.14999847407452621"/>
          <bgColor theme="0" tint="-0.14999847407452621"/>
        </patternFill>
      </fill>
      <border diagonalUp="0" diagonalDown="0">
        <left style="thin">
          <color theme="1"/>
        </left>
        <right/>
        <top style="thin">
          <color theme="1"/>
        </top>
        <bottom style="thin">
          <color theme="1"/>
        </bottom>
        <vertical/>
        <horizontal/>
      </border>
    </dxf>
    <dxf>
      <numFmt numFmtId="167" formatCode="m/d/yyyy"/>
    </dxf>
    <dxf>
      <border outline="0">
        <top style="thin">
          <color theme="1"/>
        </top>
      </border>
    </dxf>
    <dxf>
      <font>
        <b/>
        <i val="0"/>
        <strike val="0"/>
        <condense val="0"/>
        <extend val="0"/>
        <outline val="0"/>
        <shadow val="0"/>
        <u val="none"/>
        <vertAlign val="baseline"/>
        <sz val="11"/>
        <color theme="1"/>
        <name val="Calibri"/>
        <family val="2"/>
        <scheme val="minor"/>
      </font>
      <fill>
        <patternFill patternType="solid">
          <fgColor indexed="64"/>
          <bgColor theme="6"/>
        </patternFill>
      </fill>
      <alignment horizontal="left" vertical="top" textRotation="0" wrapText="0" indent="0" justifyLastLine="0" shrinkToFit="0" readingOrder="0"/>
    </dxf>
  </dxfs>
  <tableStyles count="2" defaultTableStyle="TableStyleMedium2" defaultPivotStyle="PivotStyleLight16">
    <tableStyle name="Invisible" pivot="0" table="0" count="0" xr9:uid="{EFED15D4-8E3F-4B6A-866F-9C407A357FB9}"/>
    <tableStyle name="Table Style 1" pivot="0" count="0" xr9:uid="{1DB5A7F2-29DA-4EC5-A2C4-C4443EB615F6}"/>
  </tableStyles>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Project.xlsx]07.DRW!PivotTable9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Sales by Profit Compair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'07.DRW'!$B$3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'07.DRW'!$A$4:$A$15</c:f>
              <c:strCache>
                <c:ptCount val="11"/>
                <c:pt idx="0">
                  <c:v>Anita</c:v>
                </c:pt>
                <c:pt idx="1">
                  <c:v>Karan</c:v>
                </c:pt>
                <c:pt idx="2">
                  <c:v>Neha</c:v>
                </c:pt>
                <c:pt idx="3">
                  <c:v>Pooja</c:v>
                </c:pt>
                <c:pt idx="4">
                  <c:v>Priya</c:v>
                </c:pt>
                <c:pt idx="5">
                  <c:v>Priya Gupta</c:v>
                </c:pt>
                <c:pt idx="6">
                  <c:v>Rahul</c:v>
                </c:pt>
                <c:pt idx="7">
                  <c:v>Shivam</c:v>
                </c:pt>
                <c:pt idx="8">
                  <c:v>Sneha</c:v>
                </c:pt>
                <c:pt idx="9">
                  <c:v>Sneha Gupta</c:v>
                </c:pt>
                <c:pt idx="10">
                  <c:v>Vikram</c:v>
                </c:pt>
              </c:strCache>
            </c:strRef>
          </c:cat>
          <c:val>
            <c:numRef>
              <c:f>'07.DRW'!$B$4:$B$15</c:f>
              <c:numCache>
                <c:formatCode>[$₹-439]#,##0.00</c:formatCode>
                <c:ptCount val="11"/>
                <c:pt idx="0">
                  <c:v>256481.87000000005</c:v>
                </c:pt>
                <c:pt idx="1">
                  <c:v>623162.27999999991</c:v>
                </c:pt>
                <c:pt idx="2">
                  <c:v>429926.09999999992</c:v>
                </c:pt>
                <c:pt idx="3">
                  <c:v>484614.46000000008</c:v>
                </c:pt>
                <c:pt idx="4">
                  <c:v>364922.49000000011</c:v>
                </c:pt>
                <c:pt idx="5">
                  <c:v>603148.92000000004</c:v>
                </c:pt>
                <c:pt idx="6">
                  <c:v>691495.34000000032</c:v>
                </c:pt>
                <c:pt idx="7">
                  <c:v>737620.37000000023</c:v>
                </c:pt>
                <c:pt idx="8">
                  <c:v>764890.87000000011</c:v>
                </c:pt>
                <c:pt idx="9">
                  <c:v>118788.12000000005</c:v>
                </c:pt>
                <c:pt idx="10">
                  <c:v>528272.74000000011</c:v>
                </c:pt>
              </c:numCache>
            </c:numRef>
          </c:val>
          <c:extLst>
            <c:ext xmlns:c16="http://schemas.microsoft.com/office/drawing/2014/chart" uri="{C3380CC4-5D6E-409C-BE32-E72D297353CC}">
              <c16:uniqueId val="{00000000-0125-4CB8-8368-820E1CFA1A40}"/>
            </c:ext>
          </c:extLst>
        </c:ser>
        <c:ser>
          <c:idx val="1"/>
          <c:order val="1"/>
          <c:tx>
            <c:strRef>
              <c:f>'07.DRW'!$C$3</c:f>
              <c:strCache>
                <c:ptCount val="1"/>
                <c:pt idx="0">
                  <c:v>Sum of Total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'07.DRW'!$A$4:$A$15</c:f>
              <c:strCache>
                <c:ptCount val="11"/>
                <c:pt idx="0">
                  <c:v>Anita</c:v>
                </c:pt>
                <c:pt idx="1">
                  <c:v>Karan</c:v>
                </c:pt>
                <c:pt idx="2">
                  <c:v>Neha</c:v>
                </c:pt>
                <c:pt idx="3">
                  <c:v>Pooja</c:v>
                </c:pt>
                <c:pt idx="4">
                  <c:v>Priya</c:v>
                </c:pt>
                <c:pt idx="5">
                  <c:v>Priya Gupta</c:v>
                </c:pt>
                <c:pt idx="6">
                  <c:v>Rahul</c:v>
                </c:pt>
                <c:pt idx="7">
                  <c:v>Shivam</c:v>
                </c:pt>
                <c:pt idx="8">
                  <c:v>Sneha</c:v>
                </c:pt>
                <c:pt idx="9">
                  <c:v>Sneha Gupta</c:v>
                </c:pt>
                <c:pt idx="10">
                  <c:v>Vikram</c:v>
                </c:pt>
              </c:strCache>
            </c:strRef>
          </c:cat>
          <c:val>
            <c:numRef>
              <c:f>'07.DRW'!$C$4:$C$15</c:f>
              <c:numCache>
                <c:formatCode>[$₹-439]#,##0.00</c:formatCode>
                <c:ptCount val="11"/>
                <c:pt idx="0">
                  <c:v>2890845</c:v>
                </c:pt>
                <c:pt idx="1">
                  <c:v>3889837</c:v>
                </c:pt>
                <c:pt idx="2">
                  <c:v>3283676</c:v>
                </c:pt>
                <c:pt idx="3">
                  <c:v>3439704</c:v>
                </c:pt>
                <c:pt idx="4">
                  <c:v>2924690</c:v>
                </c:pt>
                <c:pt idx="5">
                  <c:v>4102756</c:v>
                </c:pt>
                <c:pt idx="6">
                  <c:v>5154709</c:v>
                </c:pt>
                <c:pt idx="7">
                  <c:v>4054862</c:v>
                </c:pt>
                <c:pt idx="8">
                  <c:v>4331537</c:v>
                </c:pt>
                <c:pt idx="9">
                  <c:v>2090570</c:v>
                </c:pt>
                <c:pt idx="10">
                  <c:v>3671278</c:v>
                </c:pt>
              </c:numCache>
            </c:numRef>
          </c:val>
          <c:extLst>
            <c:ext xmlns:c16="http://schemas.microsoft.com/office/drawing/2014/chart" uri="{C3380CC4-5D6E-409C-BE32-E72D297353CC}">
              <c16:uniqueId val="{00000001-0125-4CB8-8368-820E1CFA1A40}"/>
            </c:ext>
          </c:extLst>
        </c:ser>
        <c:dLbls>
          <c:showLegendKey val="0"/>
          <c:showVal val="0"/>
          <c:showCatName val="0"/>
          <c:showSerName val="0"/>
          <c:showPercent val="0"/>
          <c:showBubbleSize val="0"/>
        </c:dLbls>
        <c:gapWidth val="150"/>
        <c:overlap val="100"/>
        <c:axId val="928222256"/>
        <c:axId val="938051824"/>
      </c:barChart>
      <c:catAx>
        <c:axId val="9282222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938051824"/>
        <c:crosses val="autoZero"/>
        <c:auto val="1"/>
        <c:lblAlgn val="ctr"/>
        <c:lblOffset val="100"/>
        <c:noMultiLvlLbl val="0"/>
      </c:catAx>
      <c:valAx>
        <c:axId val="938051824"/>
        <c:scaling>
          <c:orientation val="minMax"/>
        </c:scaling>
        <c:delete val="0"/>
        <c:axPos val="l"/>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822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Project.xlsx]07.DRW!PivotTable1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46139529349527"/>
          <c:y val="0.17479244678647218"/>
          <c:w val="0.86627934274696494"/>
          <c:h val="0.72263022016569445"/>
        </c:manualLayout>
      </c:layout>
      <c:lineChart>
        <c:grouping val="standard"/>
        <c:varyColors val="0"/>
        <c:ser>
          <c:idx val="0"/>
          <c:order val="0"/>
          <c:tx>
            <c:strRef>
              <c:f>'07.DRW'!$C$19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'07.DRW'!$B$20:$B$28</c:f>
              <c:strCache>
                <c:ptCount val="8"/>
                <c:pt idx="0">
                  <c:v>Headphones</c:v>
                </c:pt>
                <c:pt idx="1">
                  <c:v>Keyboard</c:v>
                </c:pt>
                <c:pt idx="2">
                  <c:v>Laptop</c:v>
                </c:pt>
                <c:pt idx="3">
                  <c:v>Monitor</c:v>
                </c:pt>
                <c:pt idx="4">
                  <c:v>Mouse</c:v>
                </c:pt>
                <c:pt idx="5">
                  <c:v>Printer</c:v>
                </c:pt>
                <c:pt idx="6">
                  <c:v>Tablet</c:v>
                </c:pt>
                <c:pt idx="7">
                  <c:v>Webcam</c:v>
                </c:pt>
              </c:strCache>
            </c:strRef>
          </c:cat>
          <c:val>
            <c:numRef>
              <c:f>'07.DRW'!$C$20:$C$28</c:f>
              <c:numCache>
                <c:formatCode>[$₹-439]#,##0.00</c:formatCode>
                <c:ptCount val="8"/>
                <c:pt idx="0">
                  <c:v>762756.84999999986</c:v>
                </c:pt>
                <c:pt idx="1">
                  <c:v>897261.3600000001</c:v>
                </c:pt>
                <c:pt idx="2">
                  <c:v>723316.55</c:v>
                </c:pt>
                <c:pt idx="3">
                  <c:v>564510.48999999987</c:v>
                </c:pt>
                <c:pt idx="4">
                  <c:v>589639.57000000007</c:v>
                </c:pt>
                <c:pt idx="5">
                  <c:v>741563.44</c:v>
                </c:pt>
                <c:pt idx="6">
                  <c:v>664769.7699999999</c:v>
                </c:pt>
                <c:pt idx="7">
                  <c:v>659505.52999999991</c:v>
                </c:pt>
              </c:numCache>
            </c:numRef>
          </c:val>
          <c:smooth val="0"/>
          <c:extLst>
            <c:ext xmlns:c16="http://schemas.microsoft.com/office/drawing/2014/chart" uri="{C3380CC4-5D6E-409C-BE32-E72D297353CC}">
              <c16:uniqueId val="{00000000-2C86-43A9-A0A8-0093E7C1C877}"/>
            </c:ext>
          </c:extLst>
        </c:ser>
        <c:dLbls>
          <c:showLegendKey val="0"/>
          <c:showVal val="0"/>
          <c:showCatName val="0"/>
          <c:showSerName val="0"/>
          <c:showPercent val="0"/>
          <c:showBubbleSize val="0"/>
        </c:dLbls>
        <c:marker val="1"/>
        <c:smooth val="0"/>
        <c:axId val="771999744"/>
        <c:axId val="772000224"/>
      </c:lineChart>
      <c:catAx>
        <c:axId val="7719997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2000224"/>
        <c:crosses val="autoZero"/>
        <c:auto val="1"/>
        <c:lblAlgn val="ctr"/>
        <c:lblOffset val="100"/>
        <c:noMultiLvlLbl val="0"/>
      </c:catAx>
      <c:valAx>
        <c:axId val="772000224"/>
        <c:scaling>
          <c:orientation val="minMax"/>
        </c:scaling>
        <c:delete val="0"/>
        <c:axPos val="l"/>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199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Project.xlsx]07.DRW!PivotTable2</c:name>
    <c:fmtId val="22"/>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Total Sales by Payment Type</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'07.DRW'!$F$25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1DC-4F55-8C1C-44D08378A05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1DC-4F55-8C1C-44D08378A05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'07.DRW'!$E$26:$E$28</c:f>
              <c:strCache>
                <c:ptCount val="2"/>
                <c:pt idx="0">
                  <c:v>Cash</c:v>
                </c:pt>
                <c:pt idx="1">
                  <c:v>Online</c:v>
                </c:pt>
              </c:strCache>
            </c:strRef>
          </c:cat>
          <c:val>
            <c:numRef>
              <c:f>'07.DRW'!$F$26:$F$28</c:f>
              <c:numCache>
                <c:formatCode>[$₹-439]#,##0.00</c:formatCode>
                <c:ptCount val="2"/>
                <c:pt idx="0">
                  <c:v>18480291</c:v>
                </c:pt>
                <c:pt idx="1">
                  <c:v>21354173</c:v>
                </c:pt>
              </c:numCache>
            </c:numRef>
          </c:val>
          <c:extLst>
            <c:ext xmlns:c16="http://schemas.microsoft.com/office/drawing/2014/chart" uri="{C3380CC4-5D6E-409C-BE32-E72D297353CC}">
              <c16:uniqueId val="{00000004-61DC-4F55-8C1C-44D08378A05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Project.xlsx]07.DRW!PivotTable3</c:name>
    <c:fmtId val="27"/>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Total Profit by Payment Type</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'07.DRW'!$I$25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035-4005-B356-0AD22960466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035-4005-B356-0AD2296046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'07.DRW'!$H$26:$H$28</c:f>
              <c:strCache>
                <c:ptCount val="2"/>
                <c:pt idx="0">
                  <c:v>Cash</c:v>
                </c:pt>
                <c:pt idx="1">
                  <c:v>Online</c:v>
                </c:pt>
              </c:strCache>
            </c:strRef>
          </c:cat>
          <c:val>
            <c:numRef>
              <c:f>'07.DRW'!$I$26:$I$28</c:f>
              <c:numCache>
                <c:formatCode>[$₹-439]#,##0.00</c:formatCode>
                <c:ptCount val="2"/>
                <c:pt idx="0">
                  <c:v>18480291</c:v>
                </c:pt>
                <c:pt idx="1">
                  <c:v>21354173</c:v>
                </c:pt>
              </c:numCache>
            </c:numRef>
          </c:val>
          <c:extLst>
            <c:ext xmlns:c16="http://schemas.microsoft.com/office/drawing/2014/chart" uri="{C3380CC4-5D6E-409C-BE32-E72D297353CC}">
              <c16:uniqueId val="{00000004-2035-4005-B356-0AD22960466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Spin" dx="26" fmlaLink="'07.DRW'!$K$4" max="30000" page="10" val="14963"/>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558745</xdr:colOff>
          <xdr:row>0</xdr:row>
          <xdr:rowOff>36722</xdr:rowOff>
        </xdr:from>
        <xdr:to>
          <xdr:col>7</xdr:col>
          <xdr:colOff>266240</xdr:colOff>
          <xdr:row>3</xdr:row>
          <xdr:rowOff>167955</xdr:rowOff>
        </xdr:to>
        <xdr:sp macro="" textlink="">
          <xdr:nvSpPr>
            <xdr:cNvPr id="3074" name="Spinner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absolute">
    <xdr:from>
      <xdr:col>0</xdr:col>
      <xdr:colOff>259080</xdr:colOff>
      <xdr:row>0</xdr:row>
      <xdr:rowOff>99060</xdr:rowOff>
    </xdr:from>
    <xdr:to>
      <xdr:col>22</xdr:col>
      <xdr:colOff>197224</xdr:colOff>
      <xdr:row>35</xdr:row>
      <xdr:rowOff>160020</xdr:rowOff>
    </xdr:to>
    <xdr:sp macro="" textlink="">
      <xdr:nvSpPr>
        <xdr:cNvPr id="2" name="Rectangle: Rounded Corners 1">
          <a:extLst>
            <a:ext uri="{FF2B5EF4-FFF2-40B4-BE49-F238E27FC236}">
              <a16:creationId xmlns:a16="http://schemas.microsoft.com/office/drawing/2014/main" id="{BDAC49D3-3200-C5AE-4097-66722E371A02}"/>
            </a:ext>
          </a:extLst>
        </xdr:cNvPr>
        <xdr:cNvSpPr/>
      </xdr:nvSpPr>
      <xdr:spPr>
        <a:xfrm>
          <a:off x="259080" y="99060"/>
          <a:ext cx="13349344" cy="6336254"/>
        </a:xfrm>
        <a:prstGeom prst="roundRect">
          <a:avLst>
            <a:gd name="adj" fmla="val 1120"/>
          </a:avLst>
        </a:prstGeom>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312420</xdr:colOff>
      <xdr:row>0</xdr:row>
      <xdr:rowOff>160020</xdr:rowOff>
    </xdr:from>
    <xdr:to>
      <xdr:col>2</xdr:col>
      <xdr:colOff>144780</xdr:colOff>
      <xdr:row>35</xdr:row>
      <xdr:rowOff>83820</xdr:rowOff>
    </xdr:to>
    <xdr:sp macro="" textlink="">
      <xdr:nvSpPr>
        <xdr:cNvPr id="3" name="Rectangle: Rounded Corners 2">
          <a:extLst>
            <a:ext uri="{FF2B5EF4-FFF2-40B4-BE49-F238E27FC236}">
              <a16:creationId xmlns:a16="http://schemas.microsoft.com/office/drawing/2014/main" id="{DE0F6252-EE3D-AABB-72D9-889D26CF8B44}"/>
            </a:ext>
          </a:extLst>
        </xdr:cNvPr>
        <xdr:cNvSpPr/>
      </xdr:nvSpPr>
      <xdr:spPr>
        <a:xfrm>
          <a:off x="312420" y="160020"/>
          <a:ext cx="1051560" cy="6324600"/>
        </a:xfrm>
        <a:prstGeom prst="roundRect">
          <a:avLst>
            <a:gd name="adj" fmla="val 6522"/>
          </a:avLst>
        </a:prstGeom>
        <a:ln>
          <a:noFill/>
        </a:ln>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365760</xdr:colOff>
      <xdr:row>7</xdr:row>
      <xdr:rowOff>15240</xdr:rowOff>
    </xdr:from>
    <xdr:to>
      <xdr:col>2</xdr:col>
      <xdr:colOff>45720</xdr:colOff>
      <xdr:row>35</xdr:row>
      <xdr:rowOff>22860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0403C7B4-C924-4627-95D4-969B382C2D6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65760" y="1320368"/>
              <a:ext cx="895917" cy="5228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381000</xdr:colOff>
      <xdr:row>1</xdr:row>
      <xdr:rowOff>121920</xdr:rowOff>
    </xdr:from>
    <xdr:to>
      <xdr:col>2</xdr:col>
      <xdr:colOff>60960</xdr:colOff>
      <xdr:row>6</xdr:row>
      <xdr:rowOff>114299</xdr:rowOff>
    </xdr:to>
    <mc:AlternateContent xmlns:mc="http://schemas.openxmlformats.org/markup-compatibility/2006" xmlns:a14="http://schemas.microsoft.com/office/drawing/2010/main">
      <mc:Choice Requires="a14">
        <xdr:graphicFrame macro="">
          <xdr:nvGraphicFramePr>
            <xdr:cNvPr id="5" name="Payment Method">
              <a:extLst>
                <a:ext uri="{FF2B5EF4-FFF2-40B4-BE49-F238E27FC236}">
                  <a16:creationId xmlns:a16="http://schemas.microsoft.com/office/drawing/2014/main" id="{574DF758-62AF-4E4B-A423-049405D8BCE3}"/>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381000" y="308367"/>
              <a:ext cx="895917" cy="9246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198120</xdr:colOff>
      <xdr:row>0</xdr:row>
      <xdr:rowOff>167640</xdr:rowOff>
    </xdr:from>
    <xdr:to>
      <xdr:col>10</xdr:col>
      <xdr:colOff>220980</xdr:colOff>
      <xdr:row>4</xdr:row>
      <xdr:rowOff>137160</xdr:rowOff>
    </xdr:to>
    <xdr:sp macro="" textlink="">
      <xdr:nvSpPr>
        <xdr:cNvPr id="8" name="Rectangle: Rounded Corners 7">
          <a:extLst>
            <a:ext uri="{FF2B5EF4-FFF2-40B4-BE49-F238E27FC236}">
              <a16:creationId xmlns:a16="http://schemas.microsoft.com/office/drawing/2014/main" id="{22FF61A0-4610-05FB-19CC-BEFFF107C927}"/>
            </a:ext>
          </a:extLst>
        </xdr:cNvPr>
        <xdr:cNvSpPr/>
      </xdr:nvSpPr>
      <xdr:spPr>
        <a:xfrm>
          <a:off x="1417320" y="167640"/>
          <a:ext cx="4899660" cy="701040"/>
        </a:xfrm>
        <a:prstGeom prst="roundRect">
          <a:avLst>
            <a:gd name="adj" fmla="val 6522"/>
          </a:avLst>
        </a:prstGeom>
        <a:ln>
          <a:noFill/>
        </a:ln>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30480</xdr:colOff>
      <xdr:row>1</xdr:row>
      <xdr:rowOff>83820</xdr:rowOff>
    </xdr:from>
    <xdr:to>
      <xdr:col>10</xdr:col>
      <xdr:colOff>243840</xdr:colOff>
      <xdr:row>3</xdr:row>
      <xdr:rowOff>106680</xdr:rowOff>
    </xdr:to>
    <xdr:sp macro="" textlink="">
      <xdr:nvSpPr>
        <xdr:cNvPr id="9" name="TextBox 8">
          <a:extLst>
            <a:ext uri="{FF2B5EF4-FFF2-40B4-BE49-F238E27FC236}">
              <a16:creationId xmlns:a16="http://schemas.microsoft.com/office/drawing/2014/main" id="{62E395C6-D4E1-718A-0977-2C3F5CEC7544}"/>
            </a:ext>
          </a:extLst>
        </xdr:cNvPr>
        <xdr:cNvSpPr txBox="1"/>
      </xdr:nvSpPr>
      <xdr:spPr>
        <a:xfrm>
          <a:off x="2468880" y="266700"/>
          <a:ext cx="38709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MIS</a:t>
          </a:r>
          <a:r>
            <a:rPr lang="en-US" sz="2800" b="1"/>
            <a:t> </a:t>
          </a:r>
          <a:r>
            <a:rPr lang="en-US" sz="2800" b="1">
              <a:solidFill>
                <a:schemeClr val="bg1"/>
              </a:solidFill>
            </a:rPr>
            <a:t>SALES</a:t>
          </a:r>
          <a:r>
            <a:rPr lang="en-US" sz="2800" b="1" baseline="0"/>
            <a:t> </a:t>
          </a:r>
          <a:r>
            <a:rPr lang="en-US" sz="2800" b="1" baseline="0">
              <a:solidFill>
                <a:schemeClr val="bg1"/>
              </a:solidFill>
            </a:rPr>
            <a:t>DASHBOARD</a:t>
          </a:r>
          <a:endParaRPr lang="en-US" sz="2800" b="1">
            <a:solidFill>
              <a:schemeClr val="bg1"/>
            </a:solidFill>
          </a:endParaRPr>
        </a:p>
      </xdr:txBody>
    </xdr:sp>
    <xdr:clientData/>
  </xdr:twoCellAnchor>
  <xdr:twoCellAnchor editAs="absolute">
    <xdr:from>
      <xdr:col>2</xdr:col>
      <xdr:colOff>350520</xdr:colOff>
      <xdr:row>0</xdr:row>
      <xdr:rowOff>99060</xdr:rowOff>
    </xdr:from>
    <xdr:to>
      <xdr:col>3</xdr:col>
      <xdr:colOff>525780</xdr:colOff>
      <xdr:row>4</xdr:row>
      <xdr:rowOff>152400</xdr:rowOff>
    </xdr:to>
    <xdr:pic>
      <xdr:nvPicPr>
        <xdr:cNvPr id="11" name="Graphic 10" descr="Money with solid fill">
          <a:extLst>
            <a:ext uri="{FF2B5EF4-FFF2-40B4-BE49-F238E27FC236}">
              <a16:creationId xmlns:a16="http://schemas.microsoft.com/office/drawing/2014/main" id="{904E8EBB-D897-25E7-435D-444128131F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9720" y="99060"/>
          <a:ext cx="784860" cy="784860"/>
        </a:xfrm>
        <a:prstGeom prst="rect">
          <a:avLst/>
        </a:prstGeom>
      </xdr:spPr>
    </xdr:pic>
    <xdr:clientData/>
  </xdr:twoCellAnchor>
  <xdr:twoCellAnchor editAs="absolute">
    <xdr:from>
      <xdr:col>2</xdr:col>
      <xdr:colOff>213360</xdr:colOff>
      <xdr:row>4</xdr:row>
      <xdr:rowOff>175260</xdr:rowOff>
    </xdr:from>
    <xdr:to>
      <xdr:col>10</xdr:col>
      <xdr:colOff>320040</xdr:colOff>
      <xdr:row>19</xdr:row>
      <xdr:rowOff>38100</xdr:rowOff>
    </xdr:to>
    <xdr:sp macro="" textlink="">
      <xdr:nvSpPr>
        <xdr:cNvPr id="12" name="Rectangle: Rounded Corners 11">
          <a:extLst>
            <a:ext uri="{FF2B5EF4-FFF2-40B4-BE49-F238E27FC236}">
              <a16:creationId xmlns:a16="http://schemas.microsoft.com/office/drawing/2014/main" id="{9975E74C-B8AC-AFB7-600D-A271E2CB69DD}"/>
            </a:ext>
          </a:extLst>
        </xdr:cNvPr>
        <xdr:cNvSpPr/>
      </xdr:nvSpPr>
      <xdr:spPr>
        <a:xfrm>
          <a:off x="1432560" y="906780"/>
          <a:ext cx="4983480" cy="2606040"/>
        </a:xfrm>
        <a:prstGeom prst="roundRect">
          <a:avLst>
            <a:gd name="adj" fmla="val 3306"/>
          </a:avLst>
        </a:prstGeom>
        <a:ln>
          <a:noFill/>
        </a:ln>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213360</xdr:colOff>
      <xdr:row>19</xdr:row>
      <xdr:rowOff>91440</xdr:rowOff>
    </xdr:from>
    <xdr:to>
      <xdr:col>10</xdr:col>
      <xdr:colOff>297180</xdr:colOff>
      <xdr:row>35</xdr:row>
      <xdr:rowOff>99060</xdr:rowOff>
    </xdr:to>
    <xdr:sp macro="" textlink="">
      <xdr:nvSpPr>
        <xdr:cNvPr id="13" name="Rectangle: Rounded Corners 12">
          <a:extLst>
            <a:ext uri="{FF2B5EF4-FFF2-40B4-BE49-F238E27FC236}">
              <a16:creationId xmlns:a16="http://schemas.microsoft.com/office/drawing/2014/main" id="{B1C13B44-F372-4FEA-0282-07C5C5608BDE}"/>
            </a:ext>
          </a:extLst>
        </xdr:cNvPr>
        <xdr:cNvSpPr/>
      </xdr:nvSpPr>
      <xdr:spPr>
        <a:xfrm>
          <a:off x="1432560" y="3566160"/>
          <a:ext cx="4960620" cy="2933700"/>
        </a:xfrm>
        <a:prstGeom prst="roundRect">
          <a:avLst>
            <a:gd name="adj" fmla="val 1847"/>
          </a:avLst>
        </a:prstGeom>
        <a:ln>
          <a:noFill/>
        </a:ln>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293077</xdr:colOff>
      <xdr:row>19</xdr:row>
      <xdr:rowOff>175847</xdr:rowOff>
    </xdr:from>
    <xdr:to>
      <xdr:col>10</xdr:col>
      <xdr:colOff>200966</xdr:colOff>
      <xdr:row>35</xdr:row>
      <xdr:rowOff>40363</xdr:rowOff>
    </xdr:to>
    <xdr:graphicFrame macro="">
      <xdr:nvGraphicFramePr>
        <xdr:cNvPr id="14" name="Chart 13">
          <a:extLst>
            <a:ext uri="{FF2B5EF4-FFF2-40B4-BE49-F238E27FC236}">
              <a16:creationId xmlns:a16="http://schemas.microsoft.com/office/drawing/2014/main" id="{FC4AA014-84D0-4C08-AB78-202F2C3E9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10</xdr:col>
      <xdr:colOff>276330</xdr:colOff>
      <xdr:row>0</xdr:row>
      <xdr:rowOff>167641</xdr:rowOff>
    </xdr:from>
    <xdr:to>
      <xdr:col>22</xdr:col>
      <xdr:colOff>133978</xdr:colOff>
      <xdr:row>4</xdr:row>
      <xdr:rowOff>137161</xdr:rowOff>
    </xdr:to>
    <xdr:sp macro="" textlink="">
      <xdr:nvSpPr>
        <xdr:cNvPr id="7" name="Rectangle: Rounded Corners 6">
          <a:extLst>
            <a:ext uri="{FF2B5EF4-FFF2-40B4-BE49-F238E27FC236}">
              <a16:creationId xmlns:a16="http://schemas.microsoft.com/office/drawing/2014/main" id="{A849673E-3FC9-8443-38F0-882055E3A02E}"/>
            </a:ext>
          </a:extLst>
        </xdr:cNvPr>
        <xdr:cNvSpPr/>
      </xdr:nvSpPr>
      <xdr:spPr>
        <a:xfrm>
          <a:off x="6389077" y="167641"/>
          <a:ext cx="7192945" cy="706399"/>
        </a:xfrm>
        <a:prstGeom prst="roundRect">
          <a:avLst>
            <a:gd name="adj" fmla="val 6522"/>
          </a:avLst>
        </a:prstGeom>
        <a:ln>
          <a:noFill/>
        </a:ln>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410310</xdr:colOff>
      <xdr:row>18</xdr:row>
      <xdr:rowOff>150725</xdr:rowOff>
    </xdr:from>
    <xdr:to>
      <xdr:col>22</xdr:col>
      <xdr:colOff>125607</xdr:colOff>
      <xdr:row>35</xdr:row>
      <xdr:rowOff>50241</xdr:rowOff>
    </xdr:to>
    <xdr:sp macro="" textlink="">
      <xdr:nvSpPr>
        <xdr:cNvPr id="18" name="Rectangle: Rounded Corners 17">
          <a:extLst>
            <a:ext uri="{FF2B5EF4-FFF2-40B4-BE49-F238E27FC236}">
              <a16:creationId xmlns:a16="http://schemas.microsoft.com/office/drawing/2014/main" id="{0FFF7B6F-85E2-863C-B1D1-3658FD8CBA27}"/>
            </a:ext>
          </a:extLst>
        </xdr:cNvPr>
        <xdr:cNvSpPr/>
      </xdr:nvSpPr>
      <xdr:spPr>
        <a:xfrm>
          <a:off x="6523057" y="3466681"/>
          <a:ext cx="7050594" cy="3031252"/>
        </a:xfrm>
        <a:prstGeom prst="roundRect">
          <a:avLst>
            <a:gd name="adj" fmla="val 2094"/>
          </a:avLst>
        </a:prstGeom>
        <a:ln>
          <a:noFill/>
        </a:ln>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519167</xdr:colOff>
      <xdr:row>19</xdr:row>
      <xdr:rowOff>66988</xdr:rowOff>
    </xdr:from>
    <xdr:to>
      <xdr:col>22</xdr:col>
      <xdr:colOff>41868</xdr:colOff>
      <xdr:row>34</xdr:row>
      <xdr:rowOff>175846</xdr:rowOff>
    </xdr:to>
    <xdr:graphicFrame macro="">
      <xdr:nvGraphicFramePr>
        <xdr:cNvPr id="6" name="Chart 5">
          <a:extLst>
            <a:ext uri="{FF2B5EF4-FFF2-40B4-BE49-F238E27FC236}">
              <a16:creationId xmlns:a16="http://schemas.microsoft.com/office/drawing/2014/main" id="{6ADCD44A-F10A-4758-B31E-220F3F09E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10</xdr:col>
      <xdr:colOff>383689</xdr:colOff>
      <xdr:row>5</xdr:row>
      <xdr:rowOff>13895</xdr:rowOff>
    </xdr:from>
    <xdr:to>
      <xdr:col>22</xdr:col>
      <xdr:colOff>116541</xdr:colOff>
      <xdr:row>18</xdr:row>
      <xdr:rowOff>71718</xdr:rowOff>
    </xdr:to>
    <xdr:sp macro="" textlink="">
      <xdr:nvSpPr>
        <xdr:cNvPr id="10" name="Rectangle: Rounded Corners 9">
          <a:extLst>
            <a:ext uri="{FF2B5EF4-FFF2-40B4-BE49-F238E27FC236}">
              <a16:creationId xmlns:a16="http://schemas.microsoft.com/office/drawing/2014/main" id="{BC7274DA-30AE-8046-DF14-8ACA216AF148}"/>
            </a:ext>
          </a:extLst>
        </xdr:cNvPr>
        <xdr:cNvSpPr/>
      </xdr:nvSpPr>
      <xdr:spPr>
        <a:xfrm>
          <a:off x="6479689" y="910366"/>
          <a:ext cx="7048052" cy="2388646"/>
        </a:xfrm>
        <a:prstGeom prst="roundRect">
          <a:avLst>
            <a:gd name="adj" fmla="val 3306"/>
          </a:avLst>
        </a:prstGeom>
        <a:ln>
          <a:noFill/>
        </a:ln>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322105</xdr:colOff>
      <xdr:row>1</xdr:row>
      <xdr:rowOff>29755</xdr:rowOff>
    </xdr:from>
    <xdr:to>
      <xdr:col>22</xdr:col>
      <xdr:colOff>82816</xdr:colOff>
      <xdr:row>4</xdr:row>
      <xdr:rowOff>115261</xdr:rowOff>
    </xdr:to>
    <mc:AlternateContent xmlns:mc="http://schemas.openxmlformats.org/markup-compatibility/2006" xmlns:a14="http://schemas.microsoft.com/office/drawing/2010/main">
      <mc:Choice Requires="a14">
        <xdr:graphicFrame macro="">
          <xdr:nvGraphicFramePr>
            <xdr:cNvPr id="15" name="States">
              <a:extLst>
                <a:ext uri="{FF2B5EF4-FFF2-40B4-BE49-F238E27FC236}">
                  <a16:creationId xmlns:a16="http://schemas.microsoft.com/office/drawing/2014/main" id="{85598EF8-79FB-41BD-9F3D-CAD3CD8BB634}"/>
                </a:ext>
              </a:extLst>
            </xdr:cNvPr>
            <xdr:cNvGraphicFramePr/>
          </xdr:nvGraphicFramePr>
          <xdr:xfrm>
            <a:off x="0" y="0"/>
            <a:ext cx="0" cy="0"/>
          </xdr:xfrm>
          <a:graphic>
            <a:graphicData uri="http://schemas.microsoft.com/office/drawing/2010/slicer">
              <sle:slicer xmlns:sle="http://schemas.microsoft.com/office/drawing/2010/slicer" name="States"/>
            </a:graphicData>
          </a:graphic>
        </xdr:graphicFrame>
      </mc:Choice>
      <mc:Fallback xmlns="">
        <xdr:sp macro="" textlink="">
          <xdr:nvSpPr>
            <xdr:cNvPr id="0" name=""/>
            <xdr:cNvSpPr>
              <a:spLocks noTextEdit="1"/>
            </xdr:cNvSpPr>
          </xdr:nvSpPr>
          <xdr:spPr>
            <a:xfrm>
              <a:off x="6401892" y="216202"/>
              <a:ext cx="7056456" cy="644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456260</xdr:colOff>
      <xdr:row>5</xdr:row>
      <xdr:rowOff>90308</xdr:rowOff>
    </xdr:from>
    <xdr:to>
      <xdr:col>16</xdr:col>
      <xdr:colOff>209372</xdr:colOff>
      <xdr:row>18</xdr:row>
      <xdr:rowOff>7256</xdr:rowOff>
    </xdr:to>
    <xdr:graphicFrame macro="">
      <xdr:nvGraphicFramePr>
        <xdr:cNvPr id="17" name="Chart 16">
          <a:extLst>
            <a:ext uri="{FF2B5EF4-FFF2-40B4-BE49-F238E27FC236}">
              <a16:creationId xmlns:a16="http://schemas.microsoft.com/office/drawing/2014/main" id="{AE338B38-8D01-4E7E-A7B4-5E9278E33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16</xdr:col>
      <xdr:colOff>283028</xdr:colOff>
      <xdr:row>5</xdr:row>
      <xdr:rowOff>90309</xdr:rowOff>
    </xdr:from>
    <xdr:to>
      <xdr:col>22</xdr:col>
      <xdr:colOff>36140</xdr:colOff>
      <xdr:row>18</xdr:row>
      <xdr:rowOff>7258</xdr:rowOff>
    </xdr:to>
    <xdr:graphicFrame macro="">
      <xdr:nvGraphicFramePr>
        <xdr:cNvPr id="19" name="Chart 18">
          <a:extLst>
            <a:ext uri="{FF2B5EF4-FFF2-40B4-BE49-F238E27FC236}">
              <a16:creationId xmlns:a16="http://schemas.microsoft.com/office/drawing/2014/main" id="{EEDBD27D-7624-4A06-8FE8-D76124645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xdr:col>
      <xdr:colOff>326570</xdr:colOff>
      <xdr:row>5</xdr:row>
      <xdr:rowOff>94343</xdr:rowOff>
    </xdr:from>
    <xdr:to>
      <xdr:col>6</xdr:col>
      <xdr:colOff>206523</xdr:colOff>
      <xdr:row>11</xdr:row>
      <xdr:rowOff>121065</xdr:rowOff>
    </xdr:to>
    <xdr:sp macro="" textlink="">
      <xdr:nvSpPr>
        <xdr:cNvPr id="20" name="Rectangle 19">
          <a:extLst>
            <a:ext uri="{FF2B5EF4-FFF2-40B4-BE49-F238E27FC236}">
              <a16:creationId xmlns:a16="http://schemas.microsoft.com/office/drawing/2014/main" id="{699E92F4-6936-605F-75B6-AF88255298C9}"/>
            </a:ext>
          </a:extLst>
        </xdr:cNvPr>
        <xdr:cNvSpPr/>
      </xdr:nvSpPr>
      <xdr:spPr>
        <a:xfrm>
          <a:off x="1551467" y="1020137"/>
          <a:ext cx="2329748" cy="1137676"/>
        </a:xfrm>
        <a:prstGeom prst="rect">
          <a:avLst/>
        </a:prstGeom>
        <a:ln>
          <a:noFill/>
        </a:ln>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333692</xdr:colOff>
      <xdr:row>5</xdr:row>
      <xdr:rowOff>94343</xdr:rowOff>
    </xdr:from>
    <xdr:to>
      <xdr:col>10</xdr:col>
      <xdr:colOff>213646</xdr:colOff>
      <xdr:row>11</xdr:row>
      <xdr:rowOff>121065</xdr:rowOff>
    </xdr:to>
    <xdr:sp macro="" textlink="">
      <xdr:nvSpPr>
        <xdr:cNvPr id="23" name="Rectangle 22">
          <a:extLst>
            <a:ext uri="{FF2B5EF4-FFF2-40B4-BE49-F238E27FC236}">
              <a16:creationId xmlns:a16="http://schemas.microsoft.com/office/drawing/2014/main" id="{57007198-6E20-DB9A-05F8-6AE429D90C34}"/>
            </a:ext>
          </a:extLst>
        </xdr:cNvPr>
        <xdr:cNvSpPr/>
      </xdr:nvSpPr>
      <xdr:spPr>
        <a:xfrm>
          <a:off x="4008384" y="1020137"/>
          <a:ext cx="2329748" cy="1137676"/>
        </a:xfrm>
        <a:prstGeom prst="rect">
          <a:avLst/>
        </a:prstGeom>
        <a:ln>
          <a:noFill/>
        </a:ln>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326570</xdr:colOff>
      <xdr:row>12</xdr:row>
      <xdr:rowOff>65856</xdr:rowOff>
    </xdr:from>
    <xdr:to>
      <xdr:col>6</xdr:col>
      <xdr:colOff>206523</xdr:colOff>
      <xdr:row>18</xdr:row>
      <xdr:rowOff>92579</xdr:rowOff>
    </xdr:to>
    <xdr:sp macro="" textlink="">
      <xdr:nvSpPr>
        <xdr:cNvPr id="24" name="Rectangle 23">
          <a:extLst>
            <a:ext uri="{FF2B5EF4-FFF2-40B4-BE49-F238E27FC236}">
              <a16:creationId xmlns:a16="http://schemas.microsoft.com/office/drawing/2014/main" id="{D5FE92C3-202C-082F-1205-C7C7B1896617}"/>
            </a:ext>
          </a:extLst>
        </xdr:cNvPr>
        <xdr:cNvSpPr/>
      </xdr:nvSpPr>
      <xdr:spPr>
        <a:xfrm>
          <a:off x="1551467" y="2287763"/>
          <a:ext cx="2329748" cy="1137676"/>
        </a:xfrm>
        <a:prstGeom prst="rect">
          <a:avLst/>
        </a:prstGeom>
        <a:ln>
          <a:noFill/>
        </a:ln>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333692</xdr:colOff>
      <xdr:row>12</xdr:row>
      <xdr:rowOff>65856</xdr:rowOff>
    </xdr:from>
    <xdr:to>
      <xdr:col>10</xdr:col>
      <xdr:colOff>213646</xdr:colOff>
      <xdr:row>18</xdr:row>
      <xdr:rowOff>92579</xdr:rowOff>
    </xdr:to>
    <xdr:sp macro="" textlink="">
      <xdr:nvSpPr>
        <xdr:cNvPr id="25" name="Rectangle 24">
          <a:extLst>
            <a:ext uri="{FF2B5EF4-FFF2-40B4-BE49-F238E27FC236}">
              <a16:creationId xmlns:a16="http://schemas.microsoft.com/office/drawing/2014/main" id="{B9FA9814-93F2-64FB-BFE2-E8EE1A35E681}"/>
            </a:ext>
          </a:extLst>
        </xdr:cNvPr>
        <xdr:cNvSpPr/>
      </xdr:nvSpPr>
      <xdr:spPr>
        <a:xfrm>
          <a:off x="4008384" y="2287763"/>
          <a:ext cx="2329748" cy="1137676"/>
        </a:xfrm>
        <a:prstGeom prst="rect">
          <a:avLst/>
        </a:prstGeom>
        <a:ln>
          <a:noFill/>
        </a:ln>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434411</xdr:colOff>
      <xdr:row>6</xdr:row>
      <xdr:rowOff>135305</xdr:rowOff>
    </xdr:from>
    <xdr:to>
      <xdr:col>6</xdr:col>
      <xdr:colOff>56972</xdr:colOff>
      <xdr:row>8</xdr:row>
      <xdr:rowOff>142426</xdr:rowOff>
    </xdr:to>
    <xdr:sp macro="" textlink="'07.DRW'!N4">
      <xdr:nvSpPr>
        <xdr:cNvPr id="26" name="TextBox 25">
          <a:extLst>
            <a:ext uri="{FF2B5EF4-FFF2-40B4-BE49-F238E27FC236}">
              <a16:creationId xmlns:a16="http://schemas.microsoft.com/office/drawing/2014/main" id="{78620B6E-A73D-77F0-BB96-337A2FD7A8E7}"/>
            </a:ext>
          </a:extLst>
        </xdr:cNvPr>
        <xdr:cNvSpPr txBox="1"/>
      </xdr:nvSpPr>
      <xdr:spPr>
        <a:xfrm>
          <a:off x="1659308" y="1246258"/>
          <a:ext cx="2072356" cy="377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633CBD-AAC0-4C54-A55D-68066807D105}" type="TxLink">
            <a:rPr lang="en-US" sz="1800" b="1" i="0" u="none" strike="noStrike">
              <a:ln>
                <a:noFill/>
              </a:ln>
              <a:solidFill>
                <a:schemeClr val="bg1"/>
              </a:solidFill>
              <a:latin typeface="Calibri"/>
              <a:ea typeface="Calibri"/>
              <a:cs typeface="Calibri"/>
            </a:rPr>
            <a:pPr algn="ctr"/>
            <a:t>Top Product</a:t>
          </a:fld>
          <a:endParaRPr lang="en-US" sz="1800" b="1">
            <a:ln>
              <a:noFill/>
            </a:ln>
            <a:solidFill>
              <a:schemeClr val="bg1"/>
            </a:solidFill>
          </a:endParaRPr>
        </a:p>
      </xdr:txBody>
    </xdr:sp>
    <xdr:clientData/>
  </xdr:twoCellAnchor>
  <xdr:twoCellAnchor editAs="absolute">
    <xdr:from>
      <xdr:col>2</xdr:col>
      <xdr:colOff>434411</xdr:colOff>
      <xdr:row>8</xdr:row>
      <xdr:rowOff>35611</xdr:rowOff>
    </xdr:from>
    <xdr:to>
      <xdr:col>6</xdr:col>
      <xdr:colOff>56972</xdr:colOff>
      <xdr:row>10</xdr:row>
      <xdr:rowOff>42732</xdr:rowOff>
    </xdr:to>
    <xdr:sp macro="" textlink="'07.DRW'!N5">
      <xdr:nvSpPr>
        <xdr:cNvPr id="27" name="TextBox 26">
          <a:extLst>
            <a:ext uri="{FF2B5EF4-FFF2-40B4-BE49-F238E27FC236}">
              <a16:creationId xmlns:a16="http://schemas.microsoft.com/office/drawing/2014/main" id="{CB756D68-16D9-D846-89E7-1C87F838E02F}"/>
            </a:ext>
          </a:extLst>
        </xdr:cNvPr>
        <xdr:cNvSpPr txBox="1"/>
      </xdr:nvSpPr>
      <xdr:spPr>
        <a:xfrm>
          <a:off x="1659308" y="1516882"/>
          <a:ext cx="2072356" cy="377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94321C-3558-4214-8966-26AEBBA3AD28}" type="TxLink">
            <a:rPr lang="en-US" sz="1400" b="0" i="0" u="none" strike="noStrike">
              <a:ln>
                <a:noFill/>
              </a:ln>
              <a:solidFill>
                <a:schemeClr val="bg1"/>
              </a:solidFill>
              <a:latin typeface="Calibri"/>
              <a:ea typeface="Calibri"/>
              <a:cs typeface="Calibri"/>
            </a:rPr>
            <a:pPr algn="ctr"/>
            <a:t>Keyboard</a:t>
          </a:fld>
          <a:endParaRPr lang="en-US" sz="1400">
            <a:ln>
              <a:noFill/>
            </a:ln>
            <a:solidFill>
              <a:schemeClr val="bg1"/>
            </a:solidFill>
          </a:endParaRPr>
        </a:p>
      </xdr:txBody>
    </xdr:sp>
    <xdr:clientData/>
  </xdr:twoCellAnchor>
  <xdr:twoCellAnchor editAs="absolute">
    <xdr:from>
      <xdr:col>6</xdr:col>
      <xdr:colOff>434410</xdr:colOff>
      <xdr:row>6</xdr:row>
      <xdr:rowOff>135305</xdr:rowOff>
    </xdr:from>
    <xdr:to>
      <xdr:col>10</xdr:col>
      <xdr:colOff>56972</xdr:colOff>
      <xdr:row>8</xdr:row>
      <xdr:rowOff>142426</xdr:rowOff>
    </xdr:to>
    <xdr:sp macro="" textlink="'07.DRW'!O4">
      <xdr:nvSpPr>
        <xdr:cNvPr id="28" name="TextBox 27">
          <a:extLst>
            <a:ext uri="{FF2B5EF4-FFF2-40B4-BE49-F238E27FC236}">
              <a16:creationId xmlns:a16="http://schemas.microsoft.com/office/drawing/2014/main" id="{F531A8EF-3FC6-4195-8473-0905F7016DE0}"/>
            </a:ext>
          </a:extLst>
        </xdr:cNvPr>
        <xdr:cNvSpPr txBox="1"/>
      </xdr:nvSpPr>
      <xdr:spPr>
        <a:xfrm>
          <a:off x="4109102" y="1246258"/>
          <a:ext cx="2072356" cy="377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37202D-0BD3-4452-B26E-71189DB798FA}" type="TxLink">
            <a:rPr lang="en-US" sz="1800" b="1" i="0" u="none" strike="noStrike">
              <a:ln>
                <a:noFill/>
              </a:ln>
              <a:solidFill>
                <a:schemeClr val="bg1"/>
              </a:solidFill>
              <a:latin typeface="Calibri"/>
              <a:ea typeface="Calibri"/>
              <a:cs typeface="Calibri"/>
            </a:rPr>
            <a:pPr marL="0" indent="0" algn="ctr"/>
            <a:t>Top Customer</a:t>
          </a:fld>
          <a:endParaRPr lang="en-US" sz="1800" b="1" i="0" u="none" strike="noStrike">
            <a:ln>
              <a:noFill/>
            </a:ln>
            <a:solidFill>
              <a:schemeClr val="bg1"/>
            </a:solidFill>
            <a:latin typeface="Calibri"/>
            <a:ea typeface="Calibri"/>
            <a:cs typeface="Calibri"/>
          </a:endParaRPr>
        </a:p>
      </xdr:txBody>
    </xdr:sp>
    <xdr:clientData/>
  </xdr:twoCellAnchor>
  <xdr:twoCellAnchor editAs="absolute">
    <xdr:from>
      <xdr:col>6</xdr:col>
      <xdr:colOff>434410</xdr:colOff>
      <xdr:row>8</xdr:row>
      <xdr:rowOff>35611</xdr:rowOff>
    </xdr:from>
    <xdr:to>
      <xdr:col>10</xdr:col>
      <xdr:colOff>56972</xdr:colOff>
      <xdr:row>10</xdr:row>
      <xdr:rowOff>42732</xdr:rowOff>
    </xdr:to>
    <xdr:sp macro="" textlink="'07.DRW'!O5">
      <xdr:nvSpPr>
        <xdr:cNvPr id="29" name="TextBox 28">
          <a:extLst>
            <a:ext uri="{FF2B5EF4-FFF2-40B4-BE49-F238E27FC236}">
              <a16:creationId xmlns:a16="http://schemas.microsoft.com/office/drawing/2014/main" id="{12997760-E7E1-56E9-5686-46724BE8BC84}"/>
            </a:ext>
          </a:extLst>
        </xdr:cNvPr>
        <xdr:cNvSpPr txBox="1"/>
      </xdr:nvSpPr>
      <xdr:spPr>
        <a:xfrm>
          <a:off x="4109102" y="1516882"/>
          <a:ext cx="2072356" cy="377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603ABE-BDBA-472F-9BA3-ED130E7ABD41}" type="TxLink">
            <a:rPr lang="en-US" sz="1400" b="0" i="0" u="none" strike="noStrike">
              <a:ln>
                <a:noFill/>
              </a:ln>
              <a:solidFill>
                <a:schemeClr val="bg1"/>
              </a:solidFill>
              <a:latin typeface="Calibri"/>
              <a:ea typeface="Calibri"/>
              <a:cs typeface="Calibri"/>
            </a:rPr>
            <a:pPr marL="0" indent="0" algn="ctr"/>
            <a:t>Sneha</a:t>
          </a:fld>
          <a:endParaRPr lang="en-US" sz="1400" b="0" i="0" u="none" strike="noStrike">
            <a:ln>
              <a:noFill/>
            </a:ln>
            <a:solidFill>
              <a:schemeClr val="bg1"/>
            </a:solidFill>
            <a:latin typeface="Calibri"/>
            <a:ea typeface="Calibri"/>
            <a:cs typeface="Calibri"/>
          </a:endParaRPr>
        </a:p>
      </xdr:txBody>
    </xdr:sp>
    <xdr:clientData/>
  </xdr:twoCellAnchor>
  <xdr:twoCellAnchor editAs="absolute">
    <xdr:from>
      <xdr:col>2</xdr:col>
      <xdr:colOff>434411</xdr:colOff>
      <xdr:row>13</xdr:row>
      <xdr:rowOff>121062</xdr:rowOff>
    </xdr:from>
    <xdr:to>
      <xdr:col>6</xdr:col>
      <xdr:colOff>56972</xdr:colOff>
      <xdr:row>15</xdr:row>
      <xdr:rowOff>128183</xdr:rowOff>
    </xdr:to>
    <xdr:sp macro="" textlink="'07.DRW'!P4">
      <xdr:nvSpPr>
        <xdr:cNvPr id="30" name="TextBox 29">
          <a:extLst>
            <a:ext uri="{FF2B5EF4-FFF2-40B4-BE49-F238E27FC236}">
              <a16:creationId xmlns:a16="http://schemas.microsoft.com/office/drawing/2014/main" id="{3DB31A13-C6C6-E9A1-8500-6D6ECF93142C}"/>
            </a:ext>
          </a:extLst>
        </xdr:cNvPr>
        <xdr:cNvSpPr txBox="1"/>
      </xdr:nvSpPr>
      <xdr:spPr>
        <a:xfrm>
          <a:off x="1659308" y="2528127"/>
          <a:ext cx="2072356" cy="377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E4F7CC1-1684-4593-A027-79274823B80D}" type="TxLink">
            <a:rPr lang="en-US" sz="1800" b="1" i="0" u="none" strike="noStrike">
              <a:ln>
                <a:noFill/>
              </a:ln>
              <a:solidFill>
                <a:schemeClr val="bg1"/>
              </a:solidFill>
              <a:latin typeface="Calibri"/>
              <a:ea typeface="Calibri"/>
              <a:cs typeface="Calibri"/>
            </a:rPr>
            <a:pPr marL="0" indent="0" algn="ctr"/>
            <a:t>Total Sales</a:t>
          </a:fld>
          <a:endParaRPr lang="en-US" sz="1800" b="1" i="0" u="none" strike="noStrike">
            <a:ln>
              <a:noFill/>
            </a:ln>
            <a:solidFill>
              <a:schemeClr val="bg1"/>
            </a:solidFill>
            <a:latin typeface="Calibri"/>
            <a:ea typeface="Calibri"/>
            <a:cs typeface="Calibri"/>
          </a:endParaRPr>
        </a:p>
      </xdr:txBody>
    </xdr:sp>
    <xdr:clientData/>
  </xdr:twoCellAnchor>
  <xdr:twoCellAnchor editAs="absolute">
    <xdr:from>
      <xdr:col>2</xdr:col>
      <xdr:colOff>434411</xdr:colOff>
      <xdr:row>15</xdr:row>
      <xdr:rowOff>21368</xdr:rowOff>
    </xdr:from>
    <xdr:to>
      <xdr:col>6</xdr:col>
      <xdr:colOff>56972</xdr:colOff>
      <xdr:row>17</xdr:row>
      <xdr:rowOff>28489</xdr:rowOff>
    </xdr:to>
    <xdr:sp macro="" textlink="'07.DRW'!P5">
      <xdr:nvSpPr>
        <xdr:cNvPr id="31" name="TextBox 30">
          <a:extLst>
            <a:ext uri="{FF2B5EF4-FFF2-40B4-BE49-F238E27FC236}">
              <a16:creationId xmlns:a16="http://schemas.microsoft.com/office/drawing/2014/main" id="{BD5D6E04-4912-B5DA-2989-B0B6E3D25736}"/>
            </a:ext>
          </a:extLst>
        </xdr:cNvPr>
        <xdr:cNvSpPr txBox="1"/>
      </xdr:nvSpPr>
      <xdr:spPr>
        <a:xfrm>
          <a:off x="1659308" y="2798751"/>
          <a:ext cx="2072356" cy="377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9F829B-C322-4825-B9A9-6DE928F2A842}" type="TxLink">
            <a:rPr lang="en-US" sz="1400" b="0" i="0" u="none" strike="noStrike">
              <a:ln>
                <a:noFill/>
              </a:ln>
              <a:solidFill>
                <a:schemeClr val="bg1"/>
              </a:solidFill>
              <a:latin typeface="Calibri"/>
              <a:ea typeface="Calibri"/>
              <a:cs typeface="Calibri"/>
            </a:rPr>
            <a:pPr marL="0" indent="0" algn="ctr"/>
            <a:t>₹39,834,464</a:t>
          </a:fld>
          <a:endParaRPr lang="en-US" sz="1400" b="0" i="0" u="none" strike="noStrike">
            <a:ln>
              <a:noFill/>
            </a:ln>
            <a:solidFill>
              <a:schemeClr val="bg1"/>
            </a:solidFill>
            <a:latin typeface="Calibri"/>
            <a:ea typeface="Calibri"/>
            <a:cs typeface="Calibri"/>
          </a:endParaRPr>
        </a:p>
      </xdr:txBody>
    </xdr:sp>
    <xdr:clientData/>
  </xdr:twoCellAnchor>
  <xdr:twoCellAnchor editAs="absolute">
    <xdr:from>
      <xdr:col>6</xdr:col>
      <xdr:colOff>434410</xdr:colOff>
      <xdr:row>13</xdr:row>
      <xdr:rowOff>121062</xdr:rowOff>
    </xdr:from>
    <xdr:to>
      <xdr:col>10</xdr:col>
      <xdr:colOff>56972</xdr:colOff>
      <xdr:row>15</xdr:row>
      <xdr:rowOff>128183</xdr:rowOff>
    </xdr:to>
    <xdr:sp macro="" textlink="'07.DRW'!Q4">
      <xdr:nvSpPr>
        <xdr:cNvPr id="32" name="TextBox 31">
          <a:extLst>
            <a:ext uri="{FF2B5EF4-FFF2-40B4-BE49-F238E27FC236}">
              <a16:creationId xmlns:a16="http://schemas.microsoft.com/office/drawing/2014/main" id="{3EE30167-FF02-E61A-AAA7-504CC3CBD73A}"/>
            </a:ext>
          </a:extLst>
        </xdr:cNvPr>
        <xdr:cNvSpPr txBox="1"/>
      </xdr:nvSpPr>
      <xdr:spPr>
        <a:xfrm>
          <a:off x="4109102" y="2528127"/>
          <a:ext cx="2072356" cy="377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2EE0BE-0D3E-4EB1-83F9-4C8FAB193512}" type="TxLink">
            <a:rPr lang="en-US" sz="1800" b="1" i="0" u="none" strike="noStrike">
              <a:ln>
                <a:noFill/>
              </a:ln>
              <a:solidFill>
                <a:schemeClr val="bg1"/>
              </a:solidFill>
              <a:latin typeface="Calibri"/>
              <a:ea typeface="Calibri"/>
              <a:cs typeface="Calibri"/>
            </a:rPr>
            <a:pPr marL="0" indent="0" algn="ctr"/>
            <a:t>Total Profit</a:t>
          </a:fld>
          <a:endParaRPr lang="en-US" sz="1800" b="1" i="0" u="none" strike="noStrike">
            <a:ln>
              <a:noFill/>
            </a:ln>
            <a:solidFill>
              <a:schemeClr val="bg1"/>
            </a:solidFill>
            <a:latin typeface="Calibri"/>
            <a:ea typeface="Calibri"/>
            <a:cs typeface="Calibri"/>
          </a:endParaRPr>
        </a:p>
      </xdr:txBody>
    </xdr:sp>
    <xdr:clientData/>
  </xdr:twoCellAnchor>
  <xdr:twoCellAnchor editAs="absolute">
    <xdr:from>
      <xdr:col>6</xdr:col>
      <xdr:colOff>434410</xdr:colOff>
      <xdr:row>15</xdr:row>
      <xdr:rowOff>21368</xdr:rowOff>
    </xdr:from>
    <xdr:to>
      <xdr:col>10</xdr:col>
      <xdr:colOff>56972</xdr:colOff>
      <xdr:row>17</xdr:row>
      <xdr:rowOff>28489</xdr:rowOff>
    </xdr:to>
    <xdr:sp macro="" textlink="'07.DRW'!Q5">
      <xdr:nvSpPr>
        <xdr:cNvPr id="33" name="TextBox 32">
          <a:extLst>
            <a:ext uri="{FF2B5EF4-FFF2-40B4-BE49-F238E27FC236}">
              <a16:creationId xmlns:a16="http://schemas.microsoft.com/office/drawing/2014/main" id="{1F105A47-899C-8370-1620-08375E4A93C3}"/>
            </a:ext>
          </a:extLst>
        </xdr:cNvPr>
        <xdr:cNvSpPr txBox="1"/>
      </xdr:nvSpPr>
      <xdr:spPr>
        <a:xfrm>
          <a:off x="4109102" y="2798751"/>
          <a:ext cx="2072356" cy="377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A69AF50-6C08-45D6-9655-4C89B9B8C700}" type="TxLink">
            <a:rPr lang="en-US" sz="1400" b="0" i="0" u="none" strike="noStrike">
              <a:ln>
                <a:noFill/>
              </a:ln>
              <a:solidFill>
                <a:schemeClr val="bg1"/>
              </a:solidFill>
              <a:latin typeface="Calibri"/>
              <a:ea typeface="Calibri"/>
              <a:cs typeface="Calibri"/>
            </a:rPr>
            <a:pPr marL="0" indent="0" algn="ctr"/>
            <a:t>₹5,603,324</a:t>
          </a:fld>
          <a:endParaRPr lang="en-US" sz="1400" b="0" i="0" u="none" strike="noStrike">
            <a:ln>
              <a:noFill/>
            </a:ln>
            <a:solidFill>
              <a:schemeClr val="bg1"/>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20.832996064812" createdVersion="8" refreshedVersion="8" minRefreshableVersion="3" recordCount="300" xr:uid="{8E53415C-C619-422C-AB2B-AC21C0533B39}">
  <cacheSource type="worksheet">
    <worksheetSource name="Table1"/>
  </cacheSource>
  <cacheFields count="14">
    <cacheField name="Transaction ID" numFmtId="0">
      <sharedItems/>
    </cacheField>
    <cacheField name="Date" numFmtId="14">
      <sharedItems containsSemiMixedTypes="0" containsNonDate="0" containsDate="1" containsString="0" minDate="2024-01-02T00:00:00" maxDate="2024-12-31T00:00:00"/>
    </cacheField>
    <cacheField name="Customer name" numFmtId="0">
      <sharedItems count="11">
        <s v="Rahul"/>
        <s v="Karan"/>
        <s v="Vikram"/>
        <s v="Priya"/>
        <s v="Shivam"/>
        <s v="Sneha"/>
        <s v="Neha"/>
        <s v="Sneha Gupta"/>
        <s v="Anita"/>
        <s v="Priya Gupta"/>
        <s v="Pooja"/>
      </sharedItems>
    </cacheField>
    <cacheField name="Product" numFmtId="0">
      <sharedItems count="8">
        <s v="Headphones"/>
        <s v="Keyboard"/>
        <s v="Tablet"/>
        <s v="Monitor"/>
        <s v="Mouse"/>
        <s v="Printer"/>
        <s v="Laptop"/>
        <s v="Webcam"/>
      </sharedItems>
    </cacheField>
    <cacheField name="Payment Method" numFmtId="0">
      <sharedItems count="2">
        <s v="Cash"/>
        <s v="Online"/>
      </sharedItems>
    </cacheField>
    <cacheField name="Unit Sold" numFmtId="0">
      <sharedItems containsSemiMixedTypes="0" containsString="0" containsNumber="1" containsInteger="1" minValue="1" maxValue="10"/>
    </cacheField>
    <cacheField name="Buying Price" numFmtId="165">
      <sharedItems containsSemiMixedTypes="0" containsString="0" containsNumber="1" minValue="1587.6" maxValue="45203.28"/>
    </cacheField>
    <cacheField name="Selling Price" numFmtId="165">
      <sharedItems containsSemiMixedTypes="0" containsString="0" containsNumber="1" containsInteger="1" minValue="1764" maxValue="49916"/>
    </cacheField>
    <cacheField name="Total Buying" numFmtId="165">
      <sharedItems containsSemiMixedTypes="0" containsString="0" containsNumber="1" minValue="6578.58" maxValue="413103.6"/>
    </cacheField>
    <cacheField name="Total Sales" numFmtId="165">
      <sharedItems containsSemiMixedTypes="0" containsString="0" containsNumber="1" containsInteger="1" minValue="5292" maxValue="489920"/>
    </cacheField>
    <cacheField name="Profit" numFmtId="165">
      <sharedItems containsSemiMixedTypes="0" containsString="0" containsNumber="1" minValue="-174267" maxValue="281723.88"/>
    </cacheField>
    <cacheField name="States" numFmtId="165">
      <sharedItems count="6">
        <s v="Uttar Pradesh"/>
        <s v="Tamil Nadu"/>
        <s v="Karnataka"/>
        <s v="Gujarat"/>
        <s v="Maharashtra"/>
        <s v="Delhi"/>
      </sharedItems>
    </cacheField>
    <cacheField name="City" numFmtId="165">
      <sharedItems count="36">
        <s v="Lucknow"/>
        <s v="Agra"/>
        <s v="Trichy"/>
        <s v="Davanagere"/>
        <s v="Bengaluru"/>
        <s v="Tirunelveli"/>
        <s v="Vadodara"/>
        <s v="Hubballi"/>
        <s v="Madurai"/>
        <s v="Mangaluru"/>
        <s v="Nagpur"/>
        <s v="Dwarka"/>
        <s v="New Delhi"/>
        <s v="Karol Bagh"/>
        <s v="Varanasi"/>
        <s v="Aurangabad"/>
        <s v="Chennai"/>
        <s v="Noida"/>
        <s v="Coimbatore"/>
        <s v="Salem"/>
        <s v="Ghaziabad"/>
        <s v="Kanpur"/>
        <s v="Thane"/>
        <s v="Pune"/>
        <s v="Mysuru"/>
        <s v="Rajkot"/>
        <s v="Nashik"/>
        <s v="Saket"/>
        <s v="Mumbai"/>
        <s v="Belagavi"/>
        <s v="Jamnagar"/>
        <s v="Connaught Place"/>
        <s v="Rohini"/>
        <s v="Surat"/>
        <s v="Ahmedabad"/>
        <s v="Bhavnagar"/>
      </sharedItems>
    </cacheField>
    <cacheField name="Month" numFmtId="165">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880853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T258"/>
    <d v="2024-01-02T00:00:00"/>
    <x v="0"/>
    <x v="0"/>
    <x v="0"/>
    <n v="10"/>
    <n v="6131.7"/>
    <n v="7570"/>
    <n v="61317"/>
    <n v="75700"/>
    <n v="14383"/>
    <x v="0"/>
    <x v="0"/>
    <x v="0"/>
  </r>
  <r>
    <s v="T240"/>
    <d v="2024-01-03T00:00:00"/>
    <x v="0"/>
    <x v="0"/>
    <x v="0"/>
    <n v="4"/>
    <n v="42856.45"/>
    <n v="47095"/>
    <n v="171425.8"/>
    <n v="188380"/>
    <n v="16954.200000000012"/>
    <x v="0"/>
    <x v="1"/>
    <x v="0"/>
  </r>
  <r>
    <s v="T048"/>
    <d v="2024-01-05T00:00:00"/>
    <x v="1"/>
    <x v="0"/>
    <x v="0"/>
    <n v="2"/>
    <n v="3289.29"/>
    <n v="3963"/>
    <n v="6578.58"/>
    <n v="7926"/>
    <n v="1347.42"/>
    <x v="1"/>
    <x v="2"/>
    <x v="0"/>
  </r>
  <r>
    <s v="T202"/>
    <d v="2024-01-05T00:00:00"/>
    <x v="0"/>
    <x v="0"/>
    <x v="0"/>
    <n v="6"/>
    <n v="34115.31"/>
    <n v="39213"/>
    <n v="204691.86"/>
    <n v="235278"/>
    <n v="30586.140000000014"/>
    <x v="2"/>
    <x v="3"/>
    <x v="0"/>
  </r>
  <r>
    <s v="T228"/>
    <d v="2024-01-07T00:00:00"/>
    <x v="2"/>
    <x v="1"/>
    <x v="0"/>
    <n v="3"/>
    <n v="12962.04"/>
    <n v="15431"/>
    <n v="38886.120000000003"/>
    <n v="46293"/>
    <n v="7406.8799999999974"/>
    <x v="2"/>
    <x v="4"/>
    <x v="0"/>
  </r>
  <r>
    <s v="T016"/>
    <d v="2024-01-10T00:00:00"/>
    <x v="3"/>
    <x v="2"/>
    <x v="1"/>
    <n v="2"/>
    <n v="17407.259999999998"/>
    <n v="20241"/>
    <n v="20135.919999999998"/>
    <n v="40482"/>
    <n v="4420.0800000000017"/>
    <x v="1"/>
    <x v="5"/>
    <x v="0"/>
  </r>
  <r>
    <s v="T107"/>
    <d v="2024-01-13T00:00:00"/>
    <x v="0"/>
    <x v="3"/>
    <x v="0"/>
    <n v="3"/>
    <n v="26482.14"/>
    <n v="32694"/>
    <n v="79446.42"/>
    <n v="98082"/>
    <n v="18635.580000000002"/>
    <x v="3"/>
    <x v="6"/>
    <x v="0"/>
  </r>
  <r>
    <s v="T111"/>
    <d v="2024-01-13T00:00:00"/>
    <x v="4"/>
    <x v="3"/>
    <x v="0"/>
    <n v="10"/>
    <n v="19596.75"/>
    <n v="22525"/>
    <n v="195967.5"/>
    <n v="225250"/>
    <n v="29282.5"/>
    <x v="2"/>
    <x v="4"/>
    <x v="0"/>
  </r>
  <r>
    <s v="T134"/>
    <d v="2024-01-13T00:00:00"/>
    <x v="5"/>
    <x v="4"/>
    <x v="1"/>
    <n v="9"/>
    <n v="19864.8"/>
    <n v="24831"/>
    <n v="178783.19999999998"/>
    <n v="223479"/>
    <n v="44695.800000000017"/>
    <x v="1"/>
    <x v="5"/>
    <x v="0"/>
  </r>
  <r>
    <s v="T136"/>
    <d v="2024-01-13T00:00:00"/>
    <x v="6"/>
    <x v="1"/>
    <x v="1"/>
    <n v="2"/>
    <n v="36479.339999999997"/>
    <n v="44487"/>
    <n v="72958.679999999993"/>
    <n v="88974"/>
    <n v="16015.320000000007"/>
    <x v="2"/>
    <x v="7"/>
    <x v="0"/>
  </r>
  <r>
    <s v="T050"/>
    <d v="2024-01-14T00:00:00"/>
    <x v="6"/>
    <x v="0"/>
    <x v="0"/>
    <n v="10"/>
    <n v="25648.799999999999"/>
    <n v="32061"/>
    <n v="38886.120000000003"/>
    <n v="320610"/>
    <n v="7406.8799999999974"/>
    <x v="1"/>
    <x v="8"/>
    <x v="0"/>
  </r>
  <r>
    <s v="T026"/>
    <d v="2024-01-15T00:00:00"/>
    <x v="0"/>
    <x v="4"/>
    <x v="0"/>
    <n v="5"/>
    <n v="6872.42"/>
    <n v="8381"/>
    <n v="216172"/>
    <n v="41905"/>
    <n v="29478"/>
    <x v="2"/>
    <x v="9"/>
    <x v="0"/>
  </r>
  <r>
    <s v="T198"/>
    <d v="2024-01-15T00:00:00"/>
    <x v="7"/>
    <x v="3"/>
    <x v="0"/>
    <n v="9"/>
    <n v="7996"/>
    <n v="9995"/>
    <n v="71964"/>
    <n v="89955"/>
    <n v="17991"/>
    <x v="3"/>
    <x v="6"/>
    <x v="0"/>
  </r>
  <r>
    <s v="T218"/>
    <d v="2024-01-15T00:00:00"/>
    <x v="1"/>
    <x v="5"/>
    <x v="0"/>
    <n v="9"/>
    <n v="25294.32"/>
    <n v="29412"/>
    <n v="227648.88"/>
    <n v="264708"/>
    <n v="37059.119999999995"/>
    <x v="4"/>
    <x v="10"/>
    <x v="0"/>
  </r>
  <r>
    <s v="T269"/>
    <d v="2024-01-16T00:00:00"/>
    <x v="6"/>
    <x v="4"/>
    <x v="1"/>
    <n v="5"/>
    <n v="16778.96"/>
    <n v="18238"/>
    <n v="83894.799999999988"/>
    <n v="91190"/>
    <n v="7295.2000000000116"/>
    <x v="5"/>
    <x v="11"/>
    <x v="0"/>
  </r>
  <r>
    <s v="T021"/>
    <d v="2024-01-19T00:00:00"/>
    <x v="4"/>
    <x v="5"/>
    <x v="0"/>
    <n v="5"/>
    <n v="19801.36"/>
    <n v="24148"/>
    <n v="38341.919999999998"/>
    <n v="120740"/>
    <n v="3334.0800000000017"/>
    <x v="5"/>
    <x v="12"/>
    <x v="0"/>
  </r>
  <r>
    <s v="T279"/>
    <d v="2024-01-19T00:00:00"/>
    <x v="8"/>
    <x v="2"/>
    <x v="1"/>
    <n v="5"/>
    <n v="32226.01"/>
    <n v="36209"/>
    <n v="161130.04999999999"/>
    <n v="181045"/>
    <n v="19914.950000000012"/>
    <x v="5"/>
    <x v="13"/>
    <x v="0"/>
  </r>
  <r>
    <s v="T252"/>
    <d v="2024-01-22T00:00:00"/>
    <x v="1"/>
    <x v="3"/>
    <x v="0"/>
    <n v="3"/>
    <n v="22194.82"/>
    <n v="24938"/>
    <n v="66584.459999999992"/>
    <n v="74814"/>
    <n v="8229.5400000000081"/>
    <x v="0"/>
    <x v="14"/>
    <x v="0"/>
  </r>
  <r>
    <s v="T292"/>
    <d v="2024-01-22T00:00:00"/>
    <x v="4"/>
    <x v="0"/>
    <x v="1"/>
    <n v="5"/>
    <n v="31449.599999999999"/>
    <n v="34560"/>
    <n v="157248"/>
    <n v="172800"/>
    <n v="15552"/>
    <x v="1"/>
    <x v="5"/>
    <x v="0"/>
  </r>
  <r>
    <s v="T034"/>
    <d v="2024-01-23T00:00:00"/>
    <x v="5"/>
    <x v="3"/>
    <x v="0"/>
    <n v="2"/>
    <n v="15959.279999999999"/>
    <n v="18344"/>
    <n v="66584.459999999992"/>
    <n v="36688"/>
    <n v="8229.5400000000081"/>
    <x v="2"/>
    <x v="4"/>
    <x v="0"/>
  </r>
  <r>
    <s v="T226"/>
    <d v="2024-01-27T00:00:00"/>
    <x v="6"/>
    <x v="0"/>
    <x v="1"/>
    <n v="6"/>
    <n v="44541.9"/>
    <n v="49491"/>
    <n v="267251.40000000002"/>
    <n v="296946"/>
    <n v="29694.599999999977"/>
    <x v="4"/>
    <x v="15"/>
    <x v="0"/>
  </r>
  <r>
    <s v="T290"/>
    <d v="2024-01-28T00:00:00"/>
    <x v="1"/>
    <x v="5"/>
    <x v="1"/>
    <n v="10"/>
    <n v="21617.200000000001"/>
    <n v="24565"/>
    <n v="216172"/>
    <n v="245650"/>
    <n v="29478"/>
    <x v="1"/>
    <x v="8"/>
    <x v="0"/>
  </r>
  <r>
    <s v="T047"/>
    <d v="2024-01-31T00:00:00"/>
    <x v="5"/>
    <x v="0"/>
    <x v="0"/>
    <n v="10"/>
    <n v="7005.7"/>
    <n v="8242"/>
    <n v="171425.8"/>
    <n v="82420"/>
    <n v="16954.200000000012"/>
    <x v="1"/>
    <x v="16"/>
    <x v="0"/>
  </r>
  <r>
    <s v="T040"/>
    <d v="2024-02-01T00:00:00"/>
    <x v="4"/>
    <x v="6"/>
    <x v="1"/>
    <n v="4"/>
    <n v="16722.260000000002"/>
    <n v="20393"/>
    <n v="227648.88"/>
    <n v="81572"/>
    <n v="37059.119999999995"/>
    <x v="0"/>
    <x v="17"/>
    <x v="1"/>
  </r>
  <r>
    <s v="T073"/>
    <d v="2024-02-03T00:00:00"/>
    <x v="0"/>
    <x v="4"/>
    <x v="1"/>
    <n v="8"/>
    <n v="24731.32"/>
    <n v="27788"/>
    <n v="197850.56"/>
    <n v="222304"/>
    <n v="24453.440000000002"/>
    <x v="1"/>
    <x v="18"/>
    <x v="1"/>
  </r>
  <r>
    <s v="T185"/>
    <d v="2024-02-03T00:00:00"/>
    <x v="6"/>
    <x v="3"/>
    <x v="0"/>
    <n v="10"/>
    <n v="10941.6"/>
    <n v="13677"/>
    <n v="109416"/>
    <n v="136770"/>
    <n v="27354"/>
    <x v="1"/>
    <x v="19"/>
    <x v="1"/>
  </r>
  <r>
    <s v="T179"/>
    <d v="2024-02-04T00:00:00"/>
    <x v="0"/>
    <x v="2"/>
    <x v="1"/>
    <n v="2"/>
    <n v="19170.96"/>
    <n v="20838"/>
    <n v="38341.919999999998"/>
    <n v="41676"/>
    <n v="3334.0800000000017"/>
    <x v="4"/>
    <x v="15"/>
    <x v="1"/>
  </r>
  <r>
    <s v="T186"/>
    <d v="2024-02-08T00:00:00"/>
    <x v="2"/>
    <x v="4"/>
    <x v="0"/>
    <n v="6"/>
    <n v="3752.73"/>
    <n v="4633"/>
    <n v="22516.38"/>
    <n v="27798"/>
    <n v="5281.619999999999"/>
    <x v="5"/>
    <x v="13"/>
    <x v="1"/>
  </r>
  <r>
    <s v="T004"/>
    <d v="2024-02-09T00:00:00"/>
    <x v="0"/>
    <x v="7"/>
    <x v="0"/>
    <n v="5"/>
    <n v="8220.0400000000009"/>
    <n v="9236"/>
    <n v="51111"/>
    <n v="46180"/>
    <n v="5679"/>
    <x v="0"/>
    <x v="0"/>
    <x v="1"/>
  </r>
  <r>
    <s v="T151"/>
    <d v="2024-02-10T00:00:00"/>
    <x v="9"/>
    <x v="6"/>
    <x v="1"/>
    <n v="2"/>
    <n v="22920.48"/>
    <n v="26046"/>
    <n v="45840.959999999999"/>
    <n v="52092"/>
    <n v="6251.0400000000009"/>
    <x v="2"/>
    <x v="3"/>
    <x v="1"/>
  </r>
  <r>
    <s v="T099"/>
    <d v="2024-02-11T00:00:00"/>
    <x v="3"/>
    <x v="4"/>
    <x v="1"/>
    <n v="7"/>
    <n v="44021.7"/>
    <n v="48913"/>
    <n v="308151.89999999997"/>
    <n v="342391"/>
    <n v="34239.100000000035"/>
    <x v="0"/>
    <x v="20"/>
    <x v="1"/>
  </r>
  <r>
    <s v="T270"/>
    <d v="2024-02-11T00:00:00"/>
    <x v="0"/>
    <x v="5"/>
    <x v="0"/>
    <n v="4"/>
    <n v="36675"/>
    <n v="40750"/>
    <n v="146700"/>
    <n v="163000"/>
    <n v="16300"/>
    <x v="0"/>
    <x v="21"/>
    <x v="1"/>
  </r>
  <r>
    <s v="T075"/>
    <d v="2024-02-12T00:00:00"/>
    <x v="7"/>
    <x v="4"/>
    <x v="1"/>
    <n v="8"/>
    <n v="23217.119999999999"/>
    <n v="25236"/>
    <n v="185736.95999999999"/>
    <n v="201888"/>
    <n v="16151.040000000008"/>
    <x v="0"/>
    <x v="20"/>
    <x v="1"/>
  </r>
  <r>
    <s v="T217"/>
    <d v="2024-02-15T00:00:00"/>
    <x v="6"/>
    <x v="3"/>
    <x v="1"/>
    <n v="4"/>
    <n v="5816.7"/>
    <n v="6463"/>
    <n v="23266.799999999999"/>
    <n v="25852"/>
    <n v="2585.2000000000007"/>
    <x v="1"/>
    <x v="18"/>
    <x v="1"/>
  </r>
  <r>
    <s v="T203"/>
    <d v="2024-02-16T00:00:00"/>
    <x v="7"/>
    <x v="4"/>
    <x v="0"/>
    <n v="7"/>
    <n v="2876.56"/>
    <n v="3508"/>
    <n v="20135.919999999998"/>
    <n v="24556"/>
    <n v="4420.0800000000017"/>
    <x v="0"/>
    <x v="21"/>
    <x v="1"/>
  </r>
  <r>
    <s v="T093"/>
    <d v="2024-02-20T00:00:00"/>
    <x v="10"/>
    <x v="3"/>
    <x v="0"/>
    <n v="5"/>
    <n v="32358.65"/>
    <n v="38069"/>
    <n v="161793.25"/>
    <n v="190345"/>
    <n v="28551.75"/>
    <x v="5"/>
    <x v="12"/>
    <x v="1"/>
  </r>
  <r>
    <s v="T140"/>
    <d v="2024-02-20T00:00:00"/>
    <x v="4"/>
    <x v="6"/>
    <x v="0"/>
    <n v="2"/>
    <n v="32589"/>
    <n v="36210"/>
    <n v="65178"/>
    <n v="72420"/>
    <n v="7242"/>
    <x v="1"/>
    <x v="2"/>
    <x v="1"/>
  </r>
  <r>
    <s v="T020"/>
    <d v="2024-02-21T00:00:00"/>
    <x v="0"/>
    <x v="2"/>
    <x v="1"/>
    <n v="3"/>
    <n v="23503.5"/>
    <n v="26115"/>
    <n v="53041.979999999996"/>
    <n v="78345"/>
    <n v="10864.020000000004"/>
    <x v="0"/>
    <x v="14"/>
    <x v="1"/>
  </r>
  <r>
    <s v="T077"/>
    <d v="2024-02-22T00:00:00"/>
    <x v="8"/>
    <x v="6"/>
    <x v="0"/>
    <n v="2"/>
    <n v="26520.989999999998"/>
    <n v="31953"/>
    <n v="53041.979999999996"/>
    <n v="63906"/>
    <n v="10864.020000000004"/>
    <x v="0"/>
    <x v="17"/>
    <x v="1"/>
  </r>
  <r>
    <s v="T150"/>
    <d v="2024-02-22T00:00:00"/>
    <x v="9"/>
    <x v="7"/>
    <x v="1"/>
    <n v="3"/>
    <n v="38984.269999999997"/>
    <n v="46969"/>
    <n v="116952.81"/>
    <n v="140907"/>
    <n v="23954.190000000002"/>
    <x v="4"/>
    <x v="22"/>
    <x v="1"/>
  </r>
  <r>
    <s v="T135"/>
    <d v="2024-02-24T00:00:00"/>
    <x v="3"/>
    <x v="0"/>
    <x v="1"/>
    <n v="7"/>
    <n v="28274.61"/>
    <n v="31071"/>
    <n v="197922.27000000002"/>
    <n v="217497"/>
    <n v="19574.729999999981"/>
    <x v="4"/>
    <x v="23"/>
    <x v="1"/>
  </r>
  <r>
    <s v="T071"/>
    <d v="2024-02-26T00:00:00"/>
    <x v="10"/>
    <x v="5"/>
    <x v="1"/>
    <n v="2"/>
    <n v="43699.08"/>
    <n v="47499"/>
    <n v="87398.16"/>
    <n v="94998"/>
    <n v="7599.8399999999965"/>
    <x v="2"/>
    <x v="24"/>
    <x v="1"/>
  </r>
  <r>
    <s v="T149"/>
    <d v="2024-02-26T00:00:00"/>
    <x v="4"/>
    <x v="1"/>
    <x v="0"/>
    <n v="3"/>
    <n v="17037"/>
    <n v="18930"/>
    <n v="51111"/>
    <n v="56790"/>
    <n v="5679"/>
    <x v="0"/>
    <x v="0"/>
    <x v="1"/>
  </r>
  <r>
    <s v="T175"/>
    <d v="2024-02-26T00:00:00"/>
    <x v="9"/>
    <x v="7"/>
    <x v="1"/>
    <n v="3"/>
    <n v="31798.5"/>
    <n v="36975"/>
    <n v="95395.5"/>
    <n v="110925"/>
    <n v="15529.5"/>
    <x v="5"/>
    <x v="13"/>
    <x v="1"/>
  </r>
  <r>
    <s v="T277"/>
    <d v="2024-02-27T00:00:00"/>
    <x v="9"/>
    <x v="5"/>
    <x v="1"/>
    <n v="10"/>
    <n v="8394.6"/>
    <n v="9876"/>
    <n v="83946"/>
    <n v="98760"/>
    <n v="14814"/>
    <x v="3"/>
    <x v="25"/>
    <x v="1"/>
  </r>
  <r>
    <s v="T074"/>
    <d v="2024-02-28T00:00:00"/>
    <x v="0"/>
    <x v="1"/>
    <x v="0"/>
    <n v="2"/>
    <n v="10383.200000000001"/>
    <n v="12979"/>
    <n v="20766.400000000001"/>
    <n v="25958"/>
    <n v="5191.5999999999985"/>
    <x v="0"/>
    <x v="21"/>
    <x v="1"/>
  </r>
  <r>
    <s v="T079"/>
    <d v="2024-02-28T00:00:00"/>
    <x v="0"/>
    <x v="7"/>
    <x v="1"/>
    <n v="4"/>
    <n v="34990.35"/>
    <n v="39315"/>
    <n v="139961.4"/>
    <n v="157260"/>
    <n v="17298.600000000006"/>
    <x v="4"/>
    <x v="15"/>
    <x v="1"/>
  </r>
  <r>
    <s v="T257"/>
    <d v="2024-02-28T00:00:00"/>
    <x v="3"/>
    <x v="0"/>
    <x v="1"/>
    <n v="8"/>
    <n v="40431.96"/>
    <n v="49916"/>
    <n v="323455.68"/>
    <n v="399328"/>
    <n v="75872.320000000007"/>
    <x v="3"/>
    <x v="25"/>
    <x v="1"/>
  </r>
  <r>
    <s v="T058"/>
    <d v="2024-02-29T00:00:00"/>
    <x v="7"/>
    <x v="7"/>
    <x v="0"/>
    <n v="5"/>
    <n v="28927.360000000001"/>
    <n v="32872"/>
    <n v="144636.79999999999"/>
    <n v="164360"/>
    <n v="19723.200000000012"/>
    <x v="4"/>
    <x v="26"/>
    <x v="1"/>
  </r>
  <r>
    <s v="T120"/>
    <d v="2024-02-29T00:00:00"/>
    <x v="9"/>
    <x v="3"/>
    <x v="1"/>
    <n v="3"/>
    <n v="20670.39"/>
    <n v="25519"/>
    <n v="62011.17"/>
    <n v="76557"/>
    <n v="14545.830000000002"/>
    <x v="3"/>
    <x v="25"/>
    <x v="1"/>
  </r>
  <r>
    <s v="T275"/>
    <d v="2024-03-03T00:00:00"/>
    <x v="2"/>
    <x v="1"/>
    <x v="0"/>
    <n v="10"/>
    <n v="13533.6"/>
    <n v="16917"/>
    <n v="135336"/>
    <n v="169170"/>
    <n v="33834"/>
    <x v="1"/>
    <x v="19"/>
    <x v="2"/>
  </r>
  <r>
    <s v="T278"/>
    <d v="2024-03-03T00:00:00"/>
    <x v="5"/>
    <x v="2"/>
    <x v="1"/>
    <n v="6"/>
    <n v="38695.699999999997"/>
    <n v="44995"/>
    <n v="232174.19999999998"/>
    <n v="269970"/>
    <n v="37795.800000000017"/>
    <x v="0"/>
    <x v="21"/>
    <x v="2"/>
  </r>
  <r>
    <s v="T156"/>
    <d v="2024-03-04T00:00:00"/>
    <x v="2"/>
    <x v="0"/>
    <x v="0"/>
    <n v="3"/>
    <n v="7528.93"/>
    <n v="9071"/>
    <n v="22586.79"/>
    <n v="27213"/>
    <n v="4626.2099999999991"/>
    <x v="1"/>
    <x v="8"/>
    <x v="2"/>
  </r>
  <r>
    <s v="T008"/>
    <d v="2024-03-06T00:00:00"/>
    <x v="4"/>
    <x v="7"/>
    <x v="1"/>
    <n v="5"/>
    <n v="36531"/>
    <n v="40590"/>
    <n v="139961.4"/>
    <n v="202950"/>
    <n v="17298.600000000006"/>
    <x v="5"/>
    <x v="27"/>
    <x v="2"/>
  </r>
  <r>
    <s v="T238"/>
    <d v="2024-03-06T00:00:00"/>
    <x v="4"/>
    <x v="0"/>
    <x v="1"/>
    <n v="8"/>
    <n v="18575.05"/>
    <n v="21853"/>
    <n v="148600.4"/>
    <n v="174824"/>
    <n v="26223.600000000006"/>
    <x v="5"/>
    <x v="12"/>
    <x v="2"/>
  </r>
  <r>
    <s v="T117"/>
    <d v="2024-03-07T00:00:00"/>
    <x v="3"/>
    <x v="6"/>
    <x v="0"/>
    <n v="3"/>
    <n v="4250.12"/>
    <n v="4942"/>
    <n v="12750.36"/>
    <n v="14826"/>
    <n v="2075.6399999999994"/>
    <x v="2"/>
    <x v="7"/>
    <x v="2"/>
  </r>
  <r>
    <s v="T194"/>
    <d v="2024-03-09T00:00:00"/>
    <x v="4"/>
    <x v="4"/>
    <x v="1"/>
    <n v="6"/>
    <n v="1926.47"/>
    <n v="2117"/>
    <n v="11558.82"/>
    <n v="12702"/>
    <n v="1143.1800000000003"/>
    <x v="0"/>
    <x v="20"/>
    <x v="2"/>
  </r>
  <r>
    <s v="T280"/>
    <d v="2024-03-10T00:00:00"/>
    <x v="0"/>
    <x v="5"/>
    <x v="0"/>
    <n v="4"/>
    <n v="22545.599999999999"/>
    <n v="25620"/>
    <n v="90182.399999999994"/>
    <n v="102480"/>
    <n v="12297.600000000006"/>
    <x v="2"/>
    <x v="7"/>
    <x v="2"/>
  </r>
  <r>
    <s v="T022"/>
    <d v="2024-03-11T00:00:00"/>
    <x v="2"/>
    <x v="5"/>
    <x v="1"/>
    <n v="1"/>
    <n v="43800.24"/>
    <n v="49773"/>
    <n v="22516.38"/>
    <n v="49773"/>
    <n v="5281.619999999999"/>
    <x v="4"/>
    <x v="22"/>
    <x v="2"/>
  </r>
  <r>
    <s v="T007"/>
    <d v="2024-03-11T00:00:00"/>
    <x v="5"/>
    <x v="7"/>
    <x v="0"/>
    <n v="7"/>
    <n v="29657.119999999999"/>
    <n v="32236"/>
    <n v="20766.400000000001"/>
    <n v="225652"/>
    <n v="5191.5999999999985"/>
    <x v="1"/>
    <x v="8"/>
    <x v="2"/>
  </r>
  <r>
    <s v="T188"/>
    <d v="2024-03-11T00:00:00"/>
    <x v="2"/>
    <x v="2"/>
    <x v="0"/>
    <n v="7"/>
    <n v="33002.97"/>
    <n v="36267"/>
    <n v="231020.79"/>
    <n v="253869"/>
    <n v="22848.209999999992"/>
    <x v="5"/>
    <x v="13"/>
    <x v="2"/>
  </r>
  <r>
    <s v="T169"/>
    <d v="2024-03-12T00:00:00"/>
    <x v="5"/>
    <x v="4"/>
    <x v="1"/>
    <n v="4"/>
    <n v="22304.19"/>
    <n v="25637"/>
    <n v="89216.76"/>
    <n v="102548"/>
    <n v="13331.240000000005"/>
    <x v="4"/>
    <x v="28"/>
    <x v="2"/>
  </r>
  <r>
    <s v="T300"/>
    <d v="2024-03-13T00:00:00"/>
    <x v="9"/>
    <x v="4"/>
    <x v="0"/>
    <n v="10"/>
    <n v="12957.619999999999"/>
    <n v="15067"/>
    <n v="129576.19999999998"/>
    <n v="150670"/>
    <n v="21093.800000000017"/>
    <x v="4"/>
    <x v="28"/>
    <x v="2"/>
  </r>
  <r>
    <s v="T076"/>
    <d v="2024-03-14T00:00:00"/>
    <x v="3"/>
    <x v="6"/>
    <x v="1"/>
    <n v="3"/>
    <n v="8328.32"/>
    <n v="9152"/>
    <n v="24984.959999999999"/>
    <n v="27456"/>
    <n v="2471.0400000000009"/>
    <x v="2"/>
    <x v="29"/>
    <x v="2"/>
  </r>
  <r>
    <s v="T230"/>
    <d v="2024-03-15T00:00:00"/>
    <x v="6"/>
    <x v="7"/>
    <x v="0"/>
    <n v="3"/>
    <n v="31181.879999999997"/>
    <n v="36258"/>
    <n v="93545.639999999985"/>
    <n v="108774"/>
    <n v="15228.360000000015"/>
    <x v="5"/>
    <x v="13"/>
    <x v="2"/>
  </r>
  <r>
    <s v="T249"/>
    <d v="2024-03-15T00:00:00"/>
    <x v="9"/>
    <x v="4"/>
    <x v="1"/>
    <n v="7"/>
    <n v="2070.4"/>
    <n v="2588"/>
    <n v="14492.800000000001"/>
    <n v="18116"/>
    <n v="3623.1999999999989"/>
    <x v="2"/>
    <x v="29"/>
    <x v="2"/>
  </r>
  <r>
    <s v="T094"/>
    <d v="2024-03-16T00:00:00"/>
    <x v="5"/>
    <x v="1"/>
    <x v="1"/>
    <n v="7"/>
    <n v="13947.2"/>
    <n v="15160"/>
    <n v="97630.400000000009"/>
    <n v="106120"/>
    <n v="8489.5999999999913"/>
    <x v="2"/>
    <x v="24"/>
    <x v="2"/>
  </r>
  <r>
    <s v="T229"/>
    <d v="2024-03-17T00:00:00"/>
    <x v="2"/>
    <x v="3"/>
    <x v="0"/>
    <n v="9"/>
    <n v="24146.54"/>
    <n v="29447"/>
    <n v="217318.86000000002"/>
    <n v="265023"/>
    <n v="47704.139999999985"/>
    <x v="2"/>
    <x v="7"/>
    <x v="2"/>
  </r>
  <r>
    <s v="T028"/>
    <d v="2024-03-19T00:00:00"/>
    <x v="8"/>
    <x v="4"/>
    <x v="1"/>
    <n v="7"/>
    <n v="22979.040000000001"/>
    <n v="27356"/>
    <n v="66889.040000000008"/>
    <n v="191492"/>
    <n v="-146076.88"/>
    <x v="0"/>
    <x v="14"/>
    <x v="2"/>
  </r>
  <r>
    <s v="T126"/>
    <d v="2024-03-21T00:00:00"/>
    <x v="8"/>
    <x v="5"/>
    <x v="1"/>
    <n v="1"/>
    <n v="18895.2"/>
    <n v="23619"/>
    <n v="18895.2"/>
    <n v="23619"/>
    <n v="4723.7999999999993"/>
    <x v="5"/>
    <x v="13"/>
    <x v="2"/>
  </r>
  <r>
    <s v="T059"/>
    <d v="2024-03-22T00:00:00"/>
    <x v="10"/>
    <x v="2"/>
    <x v="1"/>
    <n v="9"/>
    <n v="4181.6000000000004"/>
    <n v="5227"/>
    <n v="37634.400000000001"/>
    <n v="47043"/>
    <n v="9408.5999999999985"/>
    <x v="0"/>
    <x v="14"/>
    <x v="2"/>
  </r>
  <r>
    <s v="T297"/>
    <d v="2024-03-23T00:00:00"/>
    <x v="10"/>
    <x v="2"/>
    <x v="0"/>
    <n v="3"/>
    <n v="41386.199999999997"/>
    <n v="44985"/>
    <n v="124158.59999999999"/>
    <n v="134955"/>
    <n v="10796.400000000009"/>
    <x v="1"/>
    <x v="19"/>
    <x v="2"/>
  </r>
  <r>
    <s v="T271"/>
    <d v="2024-03-25T00:00:00"/>
    <x v="5"/>
    <x v="6"/>
    <x v="0"/>
    <n v="2"/>
    <n v="45203.28"/>
    <n v="49134"/>
    <n v="90406.56"/>
    <n v="98268"/>
    <n v="7861.4400000000023"/>
    <x v="2"/>
    <x v="7"/>
    <x v="2"/>
  </r>
  <r>
    <s v="T162"/>
    <d v="2024-03-27T00:00:00"/>
    <x v="0"/>
    <x v="6"/>
    <x v="0"/>
    <n v="6"/>
    <n v="35053.839999999997"/>
    <n v="38102"/>
    <n v="210323.03999999998"/>
    <n v="228612"/>
    <n v="18288.960000000021"/>
    <x v="1"/>
    <x v="2"/>
    <x v="2"/>
  </r>
  <r>
    <s v="T083"/>
    <d v="2024-03-28T00:00:00"/>
    <x v="1"/>
    <x v="2"/>
    <x v="1"/>
    <n v="8"/>
    <n v="35734.720000000001"/>
    <n v="41552"/>
    <n v="285877.76000000001"/>
    <n v="332416"/>
    <n v="46538.239999999991"/>
    <x v="3"/>
    <x v="6"/>
    <x v="2"/>
  </r>
  <r>
    <s v="T122"/>
    <d v="2024-03-28T00:00:00"/>
    <x v="1"/>
    <x v="2"/>
    <x v="0"/>
    <n v="6"/>
    <n v="11215.72"/>
    <n v="12191"/>
    <n v="67294.319999999992"/>
    <n v="73146"/>
    <n v="5851.6800000000076"/>
    <x v="0"/>
    <x v="14"/>
    <x v="2"/>
  </r>
  <r>
    <s v="T224"/>
    <d v="2024-03-29T00:00:00"/>
    <x v="0"/>
    <x v="3"/>
    <x v="1"/>
    <n v="5"/>
    <n v="6798.6"/>
    <n v="7554"/>
    <n v="33993"/>
    <n v="37770"/>
    <n v="3777"/>
    <x v="1"/>
    <x v="16"/>
    <x v="2"/>
  </r>
  <r>
    <s v="T161"/>
    <d v="2024-03-30T00:00:00"/>
    <x v="5"/>
    <x v="7"/>
    <x v="0"/>
    <n v="7"/>
    <n v="11124.96"/>
    <n v="12936"/>
    <n v="77874.720000000001"/>
    <n v="90552"/>
    <n v="12677.279999999999"/>
    <x v="3"/>
    <x v="6"/>
    <x v="2"/>
  </r>
  <r>
    <s v="T029"/>
    <d v="2024-03-31T00:00:00"/>
    <x v="10"/>
    <x v="4"/>
    <x v="0"/>
    <n v="4"/>
    <n v="26208"/>
    <n v="29120"/>
    <n v="197850.56"/>
    <n v="116480"/>
    <n v="24453.440000000002"/>
    <x v="1"/>
    <x v="19"/>
    <x v="2"/>
  </r>
  <r>
    <s v="T242"/>
    <d v="2024-03-31T00:00:00"/>
    <x v="7"/>
    <x v="6"/>
    <x v="1"/>
    <n v="4"/>
    <n v="7439.4"/>
    <n v="8266"/>
    <n v="29757.599999999999"/>
    <n v="33064"/>
    <n v="3306.4000000000015"/>
    <x v="4"/>
    <x v="22"/>
    <x v="2"/>
  </r>
  <r>
    <s v="T116"/>
    <d v="2024-04-02T00:00:00"/>
    <x v="5"/>
    <x v="4"/>
    <x v="0"/>
    <n v="4"/>
    <n v="6825.91"/>
    <n v="7501"/>
    <n v="27303.64"/>
    <n v="30004"/>
    <n v="2700.3600000000006"/>
    <x v="2"/>
    <x v="29"/>
    <x v="3"/>
  </r>
  <r>
    <s v="T195"/>
    <d v="2024-04-03T00:00:00"/>
    <x v="6"/>
    <x v="2"/>
    <x v="1"/>
    <n v="2"/>
    <n v="21974.36"/>
    <n v="26798"/>
    <n v="43948.72"/>
    <n v="53596"/>
    <n v="9647.2799999999988"/>
    <x v="3"/>
    <x v="30"/>
    <x v="3"/>
  </r>
  <r>
    <s v="T060"/>
    <d v="2024-04-04T00:00:00"/>
    <x v="7"/>
    <x v="5"/>
    <x v="1"/>
    <n v="5"/>
    <n v="18589.599999999999"/>
    <n v="23237"/>
    <n v="92948"/>
    <n v="116185"/>
    <n v="23237"/>
    <x v="4"/>
    <x v="23"/>
    <x v="3"/>
  </r>
  <r>
    <s v="T011"/>
    <d v="2024-04-07T00:00:00"/>
    <x v="8"/>
    <x v="7"/>
    <x v="0"/>
    <n v="9"/>
    <n v="35264"/>
    <n v="44080"/>
    <n v="62011.17"/>
    <n v="396720"/>
    <n v="14545.830000000002"/>
    <x v="2"/>
    <x v="4"/>
    <x v="3"/>
  </r>
  <r>
    <s v="T090"/>
    <d v="2024-04-07T00:00:00"/>
    <x v="0"/>
    <x v="1"/>
    <x v="1"/>
    <n v="3"/>
    <n v="40086.479999999996"/>
    <n v="47722"/>
    <n v="120259.43999999999"/>
    <n v="143166"/>
    <n v="22906.560000000012"/>
    <x v="0"/>
    <x v="17"/>
    <x v="3"/>
  </r>
  <r>
    <s v="T259"/>
    <d v="2024-04-08T00:00:00"/>
    <x v="6"/>
    <x v="4"/>
    <x v="1"/>
    <n v="8"/>
    <n v="12060.9"/>
    <n v="14890"/>
    <n v="96487.2"/>
    <n v="119120"/>
    <n v="22632.800000000003"/>
    <x v="5"/>
    <x v="12"/>
    <x v="3"/>
  </r>
  <r>
    <s v="T193"/>
    <d v="2024-04-09T00:00:00"/>
    <x v="6"/>
    <x v="0"/>
    <x v="0"/>
    <n v="7"/>
    <n v="11119.68"/>
    <n v="12636"/>
    <n v="77837.760000000009"/>
    <n v="88452"/>
    <n v="10614.239999999991"/>
    <x v="3"/>
    <x v="30"/>
    <x v="3"/>
  </r>
  <r>
    <s v="T046"/>
    <d v="2024-04-10T00:00:00"/>
    <x v="6"/>
    <x v="0"/>
    <x v="1"/>
    <n v="1"/>
    <n v="32454.7"/>
    <n v="38182"/>
    <n v="61317"/>
    <n v="38182"/>
    <n v="14383"/>
    <x v="0"/>
    <x v="21"/>
    <x v="3"/>
  </r>
  <r>
    <s v="T130"/>
    <d v="2024-04-11T00:00:00"/>
    <x v="5"/>
    <x v="6"/>
    <x v="0"/>
    <n v="4"/>
    <n v="13546.72"/>
    <n v="15394"/>
    <n v="54186.879999999997"/>
    <n v="61576"/>
    <n v="7389.1200000000026"/>
    <x v="5"/>
    <x v="31"/>
    <x v="3"/>
  </r>
  <r>
    <s v="T181"/>
    <d v="2024-04-12T00:00:00"/>
    <x v="8"/>
    <x v="0"/>
    <x v="0"/>
    <n v="5"/>
    <n v="38295.839999999997"/>
    <n v="43518"/>
    <n v="191479.19999999998"/>
    <n v="217590"/>
    <n v="26110.800000000017"/>
    <x v="2"/>
    <x v="7"/>
    <x v="3"/>
  </r>
  <r>
    <s v="T184"/>
    <d v="2024-04-16T00:00:00"/>
    <x v="8"/>
    <x v="7"/>
    <x v="1"/>
    <n v="8"/>
    <n v="12413.7"/>
    <n v="13793"/>
    <n v="99309.6"/>
    <n v="110344"/>
    <n v="11034.399999999994"/>
    <x v="0"/>
    <x v="1"/>
    <x v="3"/>
  </r>
  <r>
    <s v="T141"/>
    <d v="2024-04-18T00:00:00"/>
    <x v="3"/>
    <x v="4"/>
    <x v="1"/>
    <n v="10"/>
    <n v="4662.3999999999996"/>
    <n v="5828"/>
    <n v="46624"/>
    <n v="58280"/>
    <n v="11656"/>
    <x v="5"/>
    <x v="32"/>
    <x v="3"/>
  </r>
  <r>
    <s v="T119"/>
    <d v="2024-04-19T00:00:00"/>
    <x v="2"/>
    <x v="6"/>
    <x v="0"/>
    <n v="10"/>
    <n v="20709.900000000001"/>
    <n v="23011"/>
    <n v="207099"/>
    <n v="230110"/>
    <n v="23011"/>
    <x v="2"/>
    <x v="24"/>
    <x v="3"/>
  </r>
  <r>
    <s v="T248"/>
    <d v="2024-04-19T00:00:00"/>
    <x v="5"/>
    <x v="1"/>
    <x v="1"/>
    <n v="6"/>
    <n v="37120.089999999997"/>
    <n v="44723"/>
    <n v="222720.53999999998"/>
    <n v="268338"/>
    <n v="45617.460000000021"/>
    <x v="5"/>
    <x v="32"/>
    <x v="3"/>
  </r>
  <r>
    <s v="T096"/>
    <d v="2024-04-20T00:00:00"/>
    <x v="10"/>
    <x v="4"/>
    <x v="1"/>
    <n v="1"/>
    <n v="10689.57"/>
    <n v="12879"/>
    <n v="10689.57"/>
    <n v="12879"/>
    <n v="2189.4300000000003"/>
    <x v="5"/>
    <x v="27"/>
    <x v="3"/>
  </r>
  <r>
    <s v="T024"/>
    <d v="2024-04-21T00:00:00"/>
    <x v="8"/>
    <x v="5"/>
    <x v="0"/>
    <n v="5"/>
    <n v="17990.73"/>
    <n v="20679"/>
    <n v="45840.959999999999"/>
    <n v="103395"/>
    <n v="6251.0400000000009"/>
    <x v="2"/>
    <x v="7"/>
    <x v="3"/>
  </r>
  <r>
    <s v="T171"/>
    <d v="2024-04-21T00:00:00"/>
    <x v="5"/>
    <x v="0"/>
    <x v="1"/>
    <n v="4"/>
    <n v="9478.92"/>
    <n v="11022"/>
    <n v="37915.68"/>
    <n v="44088"/>
    <n v="6172.32"/>
    <x v="3"/>
    <x v="33"/>
    <x v="3"/>
  </r>
  <r>
    <s v="T210"/>
    <d v="2024-04-23T00:00:00"/>
    <x v="5"/>
    <x v="4"/>
    <x v="1"/>
    <n v="6"/>
    <n v="17031.599999999999"/>
    <n v="20520"/>
    <n v="102189.59999999999"/>
    <n v="123120"/>
    <n v="20930.400000000009"/>
    <x v="2"/>
    <x v="7"/>
    <x v="3"/>
  </r>
  <r>
    <s v="T165"/>
    <d v="2024-04-24T00:00:00"/>
    <x v="2"/>
    <x v="4"/>
    <x v="0"/>
    <n v="5"/>
    <n v="8568.09"/>
    <n v="10323"/>
    <n v="42840.45"/>
    <n v="51615"/>
    <n v="8774.5500000000029"/>
    <x v="2"/>
    <x v="24"/>
    <x v="3"/>
  </r>
  <r>
    <s v="T035"/>
    <d v="2024-04-25T00:00:00"/>
    <x v="5"/>
    <x v="3"/>
    <x v="1"/>
    <n v="6"/>
    <n v="27739.360000000001"/>
    <n v="31522"/>
    <n v="157248"/>
    <n v="189132"/>
    <n v="15552"/>
    <x v="4"/>
    <x v="26"/>
    <x v="3"/>
  </r>
  <r>
    <s v="T286"/>
    <d v="2024-04-25T00:00:00"/>
    <x v="5"/>
    <x v="0"/>
    <x v="0"/>
    <n v="6"/>
    <n v="40296.5"/>
    <n v="48550"/>
    <n v="241779"/>
    <n v="291300"/>
    <n v="49521"/>
    <x v="4"/>
    <x v="28"/>
    <x v="3"/>
  </r>
  <r>
    <s v="T201"/>
    <d v="2024-04-26T00:00:00"/>
    <x v="0"/>
    <x v="6"/>
    <x v="0"/>
    <n v="7"/>
    <n v="16246.8"/>
    <n v="18052"/>
    <n v="113727.59999999999"/>
    <n v="126364"/>
    <n v="12636.400000000009"/>
    <x v="4"/>
    <x v="26"/>
    <x v="3"/>
  </r>
  <r>
    <s v="T211"/>
    <d v="2024-04-29T00:00:00"/>
    <x v="0"/>
    <x v="6"/>
    <x v="0"/>
    <n v="7"/>
    <n v="15603.2"/>
    <n v="16960"/>
    <n v="109222.40000000001"/>
    <n v="118720"/>
    <n v="9497.5999999999913"/>
    <x v="3"/>
    <x v="33"/>
    <x v="3"/>
  </r>
  <r>
    <s v="T054"/>
    <d v="2024-04-30T00:00:00"/>
    <x v="0"/>
    <x v="2"/>
    <x v="1"/>
    <n v="1"/>
    <n v="28370.23"/>
    <n v="34181"/>
    <n v="28370.23"/>
    <n v="34181"/>
    <n v="5810.77"/>
    <x v="5"/>
    <x v="11"/>
    <x v="3"/>
  </r>
  <r>
    <s v="T243"/>
    <d v="2024-04-30T00:00:00"/>
    <x v="2"/>
    <x v="0"/>
    <x v="0"/>
    <n v="2"/>
    <n v="33033.550000000003"/>
    <n v="38863"/>
    <n v="66067.100000000006"/>
    <n v="77726"/>
    <n v="11658.899999999994"/>
    <x v="5"/>
    <x v="11"/>
    <x v="3"/>
  </r>
  <r>
    <s v="T057"/>
    <d v="2024-05-01T00:00:00"/>
    <x v="2"/>
    <x v="0"/>
    <x v="0"/>
    <n v="9"/>
    <n v="10184.16"/>
    <n v="12124"/>
    <n v="91657.44"/>
    <n v="109116"/>
    <n v="17458.559999999998"/>
    <x v="0"/>
    <x v="21"/>
    <x v="4"/>
  </r>
  <r>
    <s v="T102"/>
    <d v="2024-05-01T00:00:00"/>
    <x v="8"/>
    <x v="2"/>
    <x v="1"/>
    <n v="2"/>
    <n v="40816.080000000002"/>
    <n v="49176"/>
    <n v="81632.160000000003"/>
    <n v="98352"/>
    <n v="16719.839999999997"/>
    <x v="2"/>
    <x v="9"/>
    <x v="4"/>
  </r>
  <r>
    <s v="T063"/>
    <d v="2024-05-02T00:00:00"/>
    <x v="2"/>
    <x v="7"/>
    <x v="0"/>
    <n v="8"/>
    <n v="19729.259999999998"/>
    <n v="22941"/>
    <n v="157834.07999999999"/>
    <n v="183528"/>
    <n v="25693.920000000013"/>
    <x v="4"/>
    <x v="28"/>
    <x v="4"/>
  </r>
  <r>
    <s v="T245"/>
    <d v="2024-05-03T00:00:00"/>
    <x v="7"/>
    <x v="7"/>
    <x v="0"/>
    <n v="4"/>
    <n v="31730.16"/>
    <n v="37774"/>
    <n v="126920.64"/>
    <n v="151096"/>
    <n v="24175.360000000001"/>
    <x v="3"/>
    <x v="34"/>
    <x v="4"/>
  </r>
  <r>
    <s v="T294"/>
    <d v="2024-05-03T00:00:00"/>
    <x v="2"/>
    <x v="1"/>
    <x v="1"/>
    <n v="6"/>
    <n v="39447.74"/>
    <n v="48107"/>
    <n v="236686.44"/>
    <n v="288642"/>
    <n v="51955.56"/>
    <x v="2"/>
    <x v="4"/>
    <x v="4"/>
  </r>
  <r>
    <s v="T084"/>
    <d v="2024-05-07T00:00:00"/>
    <x v="1"/>
    <x v="0"/>
    <x v="1"/>
    <n v="10"/>
    <n v="11940.84"/>
    <n v="14562"/>
    <n v="119408.4"/>
    <n v="145620"/>
    <n v="26211.600000000006"/>
    <x v="2"/>
    <x v="3"/>
    <x v="4"/>
  </r>
  <r>
    <s v="T036"/>
    <d v="2024-05-08T00:00:00"/>
    <x v="9"/>
    <x v="3"/>
    <x v="1"/>
    <n v="3"/>
    <n v="3633.66"/>
    <n v="4486"/>
    <n v="31918.559999999998"/>
    <n v="13458"/>
    <n v="-29896.459999999992"/>
    <x v="0"/>
    <x v="0"/>
    <x v="4"/>
  </r>
  <r>
    <s v="T268"/>
    <d v="2024-05-10T00:00:00"/>
    <x v="0"/>
    <x v="7"/>
    <x v="0"/>
    <n v="3"/>
    <n v="26528.880000000001"/>
    <n v="31582"/>
    <n v="79586.64"/>
    <n v="94746"/>
    <n v="15159.36"/>
    <x v="5"/>
    <x v="31"/>
    <x v="4"/>
  </r>
  <r>
    <s v="T204"/>
    <d v="2024-05-11T00:00:00"/>
    <x v="3"/>
    <x v="4"/>
    <x v="1"/>
    <n v="3"/>
    <n v="11417.36"/>
    <n v="13276"/>
    <n v="34252.080000000002"/>
    <n v="39828"/>
    <n v="5575.9199999999983"/>
    <x v="0"/>
    <x v="0"/>
    <x v="4"/>
  </r>
  <r>
    <s v="T251"/>
    <d v="2024-05-11T00:00:00"/>
    <x v="0"/>
    <x v="1"/>
    <x v="1"/>
    <n v="3"/>
    <n v="9508.16"/>
    <n v="11056"/>
    <n v="28524.48"/>
    <n v="33168"/>
    <n v="4643.5200000000004"/>
    <x v="5"/>
    <x v="32"/>
    <x v="4"/>
  </r>
  <r>
    <s v="T067"/>
    <d v="2024-05-12T00:00:00"/>
    <x v="9"/>
    <x v="0"/>
    <x v="1"/>
    <n v="8"/>
    <n v="34063.74"/>
    <n v="42054"/>
    <n v="272509.92"/>
    <n v="336432"/>
    <n v="63922.080000000016"/>
    <x v="3"/>
    <x v="25"/>
    <x v="4"/>
  </r>
  <r>
    <s v="T158"/>
    <d v="2024-05-13T00:00:00"/>
    <x v="10"/>
    <x v="6"/>
    <x v="1"/>
    <n v="9"/>
    <n v="25409.16"/>
    <n v="30249"/>
    <n v="228682.44"/>
    <n v="272241"/>
    <n v="43558.559999999998"/>
    <x v="1"/>
    <x v="19"/>
    <x v="4"/>
  </r>
  <r>
    <s v="T070"/>
    <d v="2024-05-15T00:00:00"/>
    <x v="9"/>
    <x v="7"/>
    <x v="1"/>
    <n v="9"/>
    <n v="9226.7999999999993"/>
    <n v="10252"/>
    <n v="83041.2"/>
    <n v="92268"/>
    <n v="9226.8000000000029"/>
    <x v="1"/>
    <x v="19"/>
    <x v="4"/>
  </r>
  <r>
    <s v="T212"/>
    <d v="2024-05-15T00:00:00"/>
    <x v="3"/>
    <x v="5"/>
    <x v="0"/>
    <n v="4"/>
    <n v="25240.16"/>
    <n v="28682"/>
    <n v="100960.64"/>
    <n v="114728"/>
    <n v="13767.36"/>
    <x v="0"/>
    <x v="17"/>
    <x v="4"/>
  </r>
  <r>
    <s v="T124"/>
    <d v="2024-05-17T00:00:00"/>
    <x v="5"/>
    <x v="1"/>
    <x v="1"/>
    <n v="6"/>
    <n v="4842.3999999999996"/>
    <n v="6053"/>
    <n v="29054.399999999998"/>
    <n v="36318"/>
    <n v="7263.6000000000022"/>
    <x v="2"/>
    <x v="4"/>
    <x v="4"/>
  </r>
  <r>
    <s v="T190"/>
    <d v="2024-05-17T00:00:00"/>
    <x v="1"/>
    <x v="6"/>
    <x v="0"/>
    <n v="2"/>
    <n v="14458.05"/>
    <n v="16245"/>
    <n v="28916.1"/>
    <n v="32490"/>
    <n v="3573.9000000000015"/>
    <x v="1"/>
    <x v="16"/>
    <x v="4"/>
  </r>
  <r>
    <s v="T013"/>
    <d v="2024-05-20T00:00:00"/>
    <x v="3"/>
    <x v="2"/>
    <x v="1"/>
    <n v="6"/>
    <n v="19460.75"/>
    <n v="22895"/>
    <n v="146700"/>
    <n v="137370"/>
    <n v="16300"/>
    <x v="1"/>
    <x v="16"/>
    <x v="4"/>
  </r>
  <r>
    <s v="T144"/>
    <d v="2024-05-21T00:00:00"/>
    <x v="7"/>
    <x v="3"/>
    <x v="1"/>
    <n v="7"/>
    <n v="9813.92"/>
    <n v="11824"/>
    <n v="68697.440000000002"/>
    <n v="82768"/>
    <n v="14070.559999999998"/>
    <x v="4"/>
    <x v="22"/>
    <x v="4"/>
  </r>
  <r>
    <s v="T031"/>
    <d v="2024-05-23T00:00:00"/>
    <x v="0"/>
    <x v="3"/>
    <x v="1"/>
    <n v="8"/>
    <n v="11377.25"/>
    <n v="13385"/>
    <n v="83894.799999999988"/>
    <n v="107080"/>
    <n v="7295.2000000000116"/>
    <x v="3"/>
    <x v="34"/>
    <x v="4"/>
  </r>
  <r>
    <s v="T082"/>
    <d v="2024-05-24T00:00:00"/>
    <x v="9"/>
    <x v="6"/>
    <x v="1"/>
    <n v="2"/>
    <n v="44028.9"/>
    <n v="48921"/>
    <n v="88057.8"/>
    <n v="97842"/>
    <n v="9784.1999999999971"/>
    <x v="1"/>
    <x v="19"/>
    <x v="4"/>
  </r>
  <r>
    <s v="T081"/>
    <d v="2024-05-25T00:00:00"/>
    <x v="0"/>
    <x v="3"/>
    <x v="0"/>
    <n v="9"/>
    <n v="22219.200000000001"/>
    <n v="27774"/>
    <n v="199972.80000000002"/>
    <n v="249966"/>
    <n v="49993.199999999983"/>
    <x v="2"/>
    <x v="24"/>
    <x v="4"/>
  </r>
  <r>
    <s v="T038"/>
    <d v="2024-05-30T00:00:00"/>
    <x v="7"/>
    <x v="6"/>
    <x v="1"/>
    <n v="3"/>
    <n v="1587.6"/>
    <n v="1764"/>
    <n v="34362.1"/>
    <n v="5292"/>
    <n v="-174267"/>
    <x v="3"/>
    <x v="33"/>
    <x v="4"/>
  </r>
  <r>
    <s v="T281"/>
    <d v="2024-05-31T00:00:00"/>
    <x v="2"/>
    <x v="3"/>
    <x v="0"/>
    <n v="8"/>
    <n v="20116.46"/>
    <n v="22106"/>
    <n v="160931.68"/>
    <n v="176848"/>
    <n v="15916.320000000007"/>
    <x v="3"/>
    <x v="33"/>
    <x v="4"/>
  </r>
  <r>
    <s v="T155"/>
    <d v="2024-06-01T00:00:00"/>
    <x v="4"/>
    <x v="5"/>
    <x v="1"/>
    <n v="5"/>
    <n v="13862.58"/>
    <n v="15934"/>
    <n v="69312.899999999994"/>
    <n v="79670"/>
    <n v="10357.100000000006"/>
    <x v="2"/>
    <x v="4"/>
    <x v="5"/>
  </r>
  <r>
    <s v="T128"/>
    <d v="2024-06-03T00:00:00"/>
    <x v="9"/>
    <x v="5"/>
    <x v="1"/>
    <n v="10"/>
    <n v="12584.880000000001"/>
    <n v="14982"/>
    <n v="125848.80000000002"/>
    <n v="149820"/>
    <n v="23971.199999999983"/>
    <x v="1"/>
    <x v="16"/>
    <x v="5"/>
  </r>
  <r>
    <s v="T142"/>
    <d v="2024-06-03T00:00:00"/>
    <x v="3"/>
    <x v="2"/>
    <x v="1"/>
    <n v="7"/>
    <n v="19601.099999999999"/>
    <n v="21779"/>
    <n v="137207.69999999998"/>
    <n v="152453"/>
    <n v="15245.300000000017"/>
    <x v="0"/>
    <x v="21"/>
    <x v="5"/>
  </r>
  <r>
    <s v="T053"/>
    <d v="2024-06-04T00:00:00"/>
    <x v="3"/>
    <x v="5"/>
    <x v="0"/>
    <n v="4"/>
    <n v="11898.88"/>
    <n v="14336"/>
    <n v="47595.519999999997"/>
    <n v="57344"/>
    <n v="9748.4800000000032"/>
    <x v="2"/>
    <x v="9"/>
    <x v="5"/>
  </r>
  <r>
    <s v="T092"/>
    <d v="2024-06-12T00:00:00"/>
    <x v="4"/>
    <x v="1"/>
    <x v="0"/>
    <n v="9"/>
    <n v="9395.75"/>
    <n v="10325"/>
    <n v="84561.75"/>
    <n v="92925"/>
    <n v="8363.25"/>
    <x v="1"/>
    <x v="16"/>
    <x v="5"/>
  </r>
  <r>
    <s v="T145"/>
    <d v="2024-06-12T00:00:00"/>
    <x v="5"/>
    <x v="1"/>
    <x v="1"/>
    <n v="7"/>
    <n v="37156.800000000003"/>
    <n v="46446"/>
    <n v="260097.60000000003"/>
    <n v="325122"/>
    <n v="65024.399999999965"/>
    <x v="4"/>
    <x v="15"/>
    <x v="5"/>
  </r>
  <r>
    <s v="T276"/>
    <d v="2024-06-12T00:00:00"/>
    <x v="4"/>
    <x v="1"/>
    <x v="1"/>
    <n v="10"/>
    <n v="41310.36"/>
    <n v="45396"/>
    <n v="413103.6"/>
    <n v="453960"/>
    <n v="40856.400000000023"/>
    <x v="3"/>
    <x v="25"/>
    <x v="5"/>
  </r>
  <r>
    <s v="T068"/>
    <d v="2024-06-13T00:00:00"/>
    <x v="1"/>
    <x v="1"/>
    <x v="1"/>
    <n v="8"/>
    <n v="31974.14"/>
    <n v="35926"/>
    <n v="255793.12"/>
    <n v="287408"/>
    <n v="31614.880000000005"/>
    <x v="1"/>
    <x v="8"/>
    <x v="5"/>
  </r>
  <r>
    <s v="T065"/>
    <d v="2024-06-14T00:00:00"/>
    <x v="0"/>
    <x v="1"/>
    <x v="0"/>
    <n v="4"/>
    <n v="39972.660000000003"/>
    <n v="43926"/>
    <n v="159890.64000000001"/>
    <n v="175704"/>
    <n v="15813.359999999986"/>
    <x v="5"/>
    <x v="27"/>
    <x v="5"/>
  </r>
  <r>
    <s v="T298"/>
    <d v="2024-06-15T00:00:00"/>
    <x v="1"/>
    <x v="4"/>
    <x v="0"/>
    <n v="4"/>
    <n v="39997.49"/>
    <n v="44941"/>
    <n v="159989.96"/>
    <n v="179764"/>
    <n v="19774.040000000008"/>
    <x v="3"/>
    <x v="35"/>
    <x v="5"/>
  </r>
  <r>
    <s v="T214"/>
    <d v="2024-06-16T00:00:00"/>
    <x v="2"/>
    <x v="6"/>
    <x v="0"/>
    <n v="4"/>
    <n v="17520.2"/>
    <n v="20612"/>
    <n v="70080.800000000003"/>
    <n v="82448"/>
    <n v="12367.199999999997"/>
    <x v="5"/>
    <x v="13"/>
    <x v="5"/>
  </r>
  <r>
    <s v="T231"/>
    <d v="2024-06-16T00:00:00"/>
    <x v="8"/>
    <x v="0"/>
    <x v="1"/>
    <n v="2"/>
    <n v="8048.48"/>
    <n v="9146"/>
    <n v="16096.96"/>
    <n v="18292"/>
    <n v="2195.0400000000009"/>
    <x v="4"/>
    <x v="23"/>
    <x v="5"/>
  </r>
  <r>
    <s v="T241"/>
    <d v="2024-06-16T00:00:00"/>
    <x v="10"/>
    <x v="2"/>
    <x v="0"/>
    <n v="9"/>
    <n v="39551.33"/>
    <n v="43463"/>
    <n v="355961.97000000003"/>
    <n v="391167"/>
    <n v="35205.02999999997"/>
    <x v="0"/>
    <x v="20"/>
    <x v="5"/>
  </r>
  <r>
    <s v="T187"/>
    <d v="2024-06-17T00:00:00"/>
    <x v="3"/>
    <x v="7"/>
    <x v="1"/>
    <n v="2"/>
    <n v="14628.24"/>
    <n v="16623"/>
    <n v="29256.48"/>
    <n v="33246"/>
    <n v="3989.5200000000004"/>
    <x v="4"/>
    <x v="23"/>
    <x v="5"/>
  </r>
  <r>
    <s v="T239"/>
    <d v="2024-06-17T00:00:00"/>
    <x v="10"/>
    <x v="1"/>
    <x v="0"/>
    <n v="6"/>
    <n v="32398.799999999999"/>
    <n v="38570"/>
    <n v="194392.8"/>
    <n v="231420"/>
    <n v="37027.200000000012"/>
    <x v="2"/>
    <x v="9"/>
    <x v="5"/>
  </r>
  <r>
    <s v="T200"/>
    <d v="2024-06-18T00:00:00"/>
    <x v="6"/>
    <x v="4"/>
    <x v="1"/>
    <n v="2"/>
    <n v="4431.28"/>
    <n v="5404"/>
    <n v="8862.56"/>
    <n v="10808"/>
    <n v="1945.4400000000005"/>
    <x v="0"/>
    <x v="21"/>
    <x v="5"/>
  </r>
  <r>
    <s v="T147"/>
    <d v="2024-06-22T00:00:00"/>
    <x v="3"/>
    <x v="4"/>
    <x v="1"/>
    <n v="4"/>
    <n v="25593.48"/>
    <n v="27819"/>
    <n v="102373.92"/>
    <n v="111276"/>
    <n v="8902.0800000000017"/>
    <x v="2"/>
    <x v="3"/>
    <x v="5"/>
  </r>
  <r>
    <s v="T052"/>
    <d v="2024-06-23T00:00:00"/>
    <x v="9"/>
    <x v="3"/>
    <x v="1"/>
    <n v="4"/>
    <n v="34524.46"/>
    <n v="42103"/>
    <n v="138097.84"/>
    <n v="168412"/>
    <n v="30314.160000000003"/>
    <x v="2"/>
    <x v="7"/>
    <x v="5"/>
  </r>
  <r>
    <s v="T014"/>
    <d v="2024-06-24T00:00:00"/>
    <x v="3"/>
    <x v="2"/>
    <x v="1"/>
    <n v="5"/>
    <n v="38430.480000000003"/>
    <n v="43671"/>
    <n v="185736.95999999999"/>
    <n v="218355"/>
    <n v="16151.040000000008"/>
    <x v="5"/>
    <x v="13"/>
    <x v="5"/>
  </r>
  <r>
    <s v="T062"/>
    <d v="2024-06-24T00:00:00"/>
    <x v="10"/>
    <x v="5"/>
    <x v="0"/>
    <n v="4"/>
    <n v="31667.13"/>
    <n v="36399"/>
    <n v="126668.52"/>
    <n v="145596"/>
    <n v="18927.479999999996"/>
    <x v="3"/>
    <x v="6"/>
    <x v="5"/>
  </r>
  <r>
    <s v="T178"/>
    <d v="2024-06-24T00:00:00"/>
    <x v="9"/>
    <x v="0"/>
    <x v="0"/>
    <n v="7"/>
    <n v="12840"/>
    <n v="16050"/>
    <n v="89880"/>
    <n v="112350"/>
    <n v="22470"/>
    <x v="3"/>
    <x v="34"/>
    <x v="5"/>
  </r>
  <r>
    <s v="T114"/>
    <d v="2024-06-25T00:00:00"/>
    <x v="10"/>
    <x v="7"/>
    <x v="1"/>
    <n v="7"/>
    <n v="18571.560000000001"/>
    <n v="22109"/>
    <n v="130000.92000000001"/>
    <n v="154763"/>
    <n v="24762.079999999987"/>
    <x v="2"/>
    <x v="29"/>
    <x v="5"/>
  </r>
  <r>
    <s v="T267"/>
    <d v="2024-06-25T00:00:00"/>
    <x v="2"/>
    <x v="3"/>
    <x v="1"/>
    <n v="3"/>
    <n v="32832.54"/>
    <n v="40534"/>
    <n v="98497.62"/>
    <n v="121602"/>
    <n v="23104.380000000005"/>
    <x v="0"/>
    <x v="14"/>
    <x v="5"/>
  </r>
  <r>
    <s v="T221"/>
    <d v="2024-06-26T00:00:00"/>
    <x v="8"/>
    <x v="2"/>
    <x v="0"/>
    <n v="7"/>
    <n v="11133.76"/>
    <n v="12652"/>
    <n v="77936.320000000007"/>
    <n v="88564"/>
    <n v="10627.679999999993"/>
    <x v="2"/>
    <x v="29"/>
    <x v="5"/>
  </r>
  <r>
    <s v="T055"/>
    <d v="2024-06-27T00:00:00"/>
    <x v="6"/>
    <x v="0"/>
    <x v="1"/>
    <n v="5"/>
    <n v="33761"/>
    <n v="37100"/>
    <n v="168805"/>
    <n v="185500"/>
    <n v="16695"/>
    <x v="4"/>
    <x v="23"/>
    <x v="5"/>
  </r>
  <r>
    <s v="T139"/>
    <d v="2024-06-27T00:00:00"/>
    <x v="0"/>
    <x v="6"/>
    <x v="1"/>
    <n v="3"/>
    <n v="31041.9"/>
    <n v="34491"/>
    <n v="93125.700000000012"/>
    <n v="103473"/>
    <n v="10347.299999999988"/>
    <x v="5"/>
    <x v="32"/>
    <x v="5"/>
  </r>
  <r>
    <s v="T216"/>
    <d v="2024-06-28T00:00:00"/>
    <x v="1"/>
    <x v="1"/>
    <x v="1"/>
    <n v="6"/>
    <n v="27028.84"/>
    <n v="32962"/>
    <n v="162173.04"/>
    <n v="197772"/>
    <n v="35598.959999999992"/>
    <x v="1"/>
    <x v="8"/>
    <x v="5"/>
  </r>
  <r>
    <s v="T236"/>
    <d v="2024-06-28T00:00:00"/>
    <x v="0"/>
    <x v="3"/>
    <x v="1"/>
    <n v="10"/>
    <n v="18156.96"/>
    <n v="22416"/>
    <n v="181569.59999999998"/>
    <n v="224160"/>
    <n v="42590.400000000023"/>
    <x v="0"/>
    <x v="20"/>
    <x v="5"/>
  </r>
  <r>
    <s v="T012"/>
    <d v="2024-06-30T00:00:00"/>
    <x v="4"/>
    <x v="2"/>
    <x v="1"/>
    <n v="6"/>
    <n v="17489.599999999999"/>
    <n v="20576"/>
    <n v="308151.89999999997"/>
    <n v="123456"/>
    <n v="34239.100000000035"/>
    <x v="1"/>
    <x v="18"/>
    <x v="5"/>
  </r>
  <r>
    <s v="T041"/>
    <d v="2024-07-02T00:00:00"/>
    <x v="5"/>
    <x v="1"/>
    <x v="1"/>
    <n v="5"/>
    <n v="26484.799999999999"/>
    <n v="33106"/>
    <n v="34814.519999999997"/>
    <n v="165530"/>
    <n v="20346.080000000002"/>
    <x v="3"/>
    <x v="30"/>
    <x v="6"/>
  </r>
  <r>
    <s v="T166"/>
    <d v="2024-07-03T00:00:00"/>
    <x v="4"/>
    <x v="1"/>
    <x v="0"/>
    <n v="9"/>
    <n v="32725.599999999999"/>
    <n v="40907"/>
    <n v="294530.39999999997"/>
    <n v="368163"/>
    <n v="73632.600000000035"/>
    <x v="2"/>
    <x v="3"/>
    <x v="6"/>
  </r>
  <r>
    <s v="T263"/>
    <d v="2024-07-05T00:00:00"/>
    <x v="7"/>
    <x v="1"/>
    <x v="0"/>
    <n v="3"/>
    <n v="40853.440000000002"/>
    <n v="47504"/>
    <n v="122560.32000000001"/>
    <n v="142512"/>
    <n v="19951.679999999993"/>
    <x v="2"/>
    <x v="29"/>
    <x v="6"/>
  </r>
  <r>
    <s v="T005"/>
    <d v="2024-07-06T00:00:00"/>
    <x v="4"/>
    <x v="7"/>
    <x v="1"/>
    <n v="1"/>
    <n v="20659.5"/>
    <n v="22955"/>
    <n v="95395.5"/>
    <n v="22955"/>
    <n v="15529.5"/>
    <x v="4"/>
    <x v="22"/>
    <x v="6"/>
  </r>
  <r>
    <s v="T283"/>
    <d v="2024-07-06T00:00:00"/>
    <x v="4"/>
    <x v="7"/>
    <x v="1"/>
    <n v="4"/>
    <n v="17160.66"/>
    <n v="21186"/>
    <n v="68642.64"/>
    <n v="84744"/>
    <n v="16101.36"/>
    <x v="2"/>
    <x v="9"/>
    <x v="6"/>
  </r>
  <r>
    <s v="T112"/>
    <d v="2024-07-07T00:00:00"/>
    <x v="1"/>
    <x v="5"/>
    <x v="1"/>
    <n v="9"/>
    <n v="2012.6399999999999"/>
    <n v="2396"/>
    <n v="18113.759999999998"/>
    <n v="21564"/>
    <n v="3450.2400000000016"/>
    <x v="2"/>
    <x v="7"/>
    <x v="6"/>
  </r>
  <r>
    <s v="T247"/>
    <d v="2024-07-08T00:00:00"/>
    <x v="6"/>
    <x v="5"/>
    <x v="1"/>
    <n v="7"/>
    <n v="21627.360000000001"/>
    <n v="23508"/>
    <n v="151391.52000000002"/>
    <n v="164556"/>
    <n v="13164.479999999981"/>
    <x v="0"/>
    <x v="14"/>
    <x v="6"/>
  </r>
  <r>
    <s v="T132"/>
    <d v="2024-07-09T00:00:00"/>
    <x v="7"/>
    <x v="0"/>
    <x v="0"/>
    <n v="10"/>
    <n v="40206.720000000001"/>
    <n v="46752"/>
    <n v="402067.20000000001"/>
    <n v="467520"/>
    <n v="65452.799999999988"/>
    <x v="0"/>
    <x v="21"/>
    <x v="6"/>
  </r>
  <r>
    <s v="T003"/>
    <d v="2024-07-10T00:00:00"/>
    <x v="5"/>
    <x v="7"/>
    <x v="1"/>
    <n v="3"/>
    <n v="18081.5"/>
    <n v="21025"/>
    <n v="87398.16"/>
    <n v="63075"/>
    <n v="7599.8399999999965"/>
    <x v="4"/>
    <x v="23"/>
    <x v="6"/>
  </r>
  <r>
    <s v="T288"/>
    <d v="2024-07-13T00:00:00"/>
    <x v="8"/>
    <x v="7"/>
    <x v="0"/>
    <n v="10"/>
    <n v="26053.65"/>
    <n v="32165"/>
    <n v="260536.5"/>
    <n v="321650"/>
    <n v="61113.5"/>
    <x v="3"/>
    <x v="30"/>
    <x v="6"/>
  </r>
  <r>
    <s v="T266"/>
    <d v="2024-07-18T00:00:00"/>
    <x v="0"/>
    <x v="2"/>
    <x v="0"/>
    <n v="2"/>
    <n v="39900"/>
    <n v="47500"/>
    <n v="79800"/>
    <n v="95000"/>
    <n v="15200"/>
    <x v="0"/>
    <x v="21"/>
    <x v="6"/>
  </r>
  <r>
    <s v="T208"/>
    <d v="2024-07-19T00:00:00"/>
    <x v="4"/>
    <x v="4"/>
    <x v="0"/>
    <n v="6"/>
    <n v="40857.599999999999"/>
    <n v="48640"/>
    <n v="245145.59999999998"/>
    <n v="291840"/>
    <n v="46694.400000000023"/>
    <x v="1"/>
    <x v="5"/>
    <x v="6"/>
  </r>
  <r>
    <s v="T049"/>
    <d v="2024-07-22T00:00:00"/>
    <x v="8"/>
    <x v="0"/>
    <x v="0"/>
    <n v="10"/>
    <n v="8617.5"/>
    <n v="9575"/>
    <n v="204691.86"/>
    <n v="95750"/>
    <n v="30586.140000000014"/>
    <x v="5"/>
    <x v="11"/>
    <x v="6"/>
  </r>
  <r>
    <s v="T009"/>
    <d v="2024-07-22T00:00:00"/>
    <x v="4"/>
    <x v="7"/>
    <x v="1"/>
    <n v="3"/>
    <n v="18680.400000000001"/>
    <n v="20756"/>
    <n v="323455.68"/>
    <n v="62268"/>
    <n v="75872.320000000007"/>
    <x v="2"/>
    <x v="29"/>
    <x v="6"/>
  </r>
  <r>
    <s v="T069"/>
    <d v="2024-07-22T00:00:00"/>
    <x v="6"/>
    <x v="5"/>
    <x v="0"/>
    <n v="10"/>
    <n v="27532"/>
    <n v="34415"/>
    <n v="275320"/>
    <n v="344150"/>
    <n v="68830"/>
    <x v="2"/>
    <x v="7"/>
    <x v="6"/>
  </r>
  <r>
    <s v="T219"/>
    <d v="2024-07-23T00:00:00"/>
    <x v="9"/>
    <x v="0"/>
    <x v="1"/>
    <n v="1"/>
    <n v="21948.29"/>
    <n v="24661"/>
    <n v="21948.29"/>
    <n v="24661"/>
    <n v="2712.7099999999991"/>
    <x v="0"/>
    <x v="14"/>
    <x v="6"/>
  </r>
  <r>
    <s v="T044"/>
    <d v="2024-07-26T00:00:00"/>
    <x v="8"/>
    <x v="1"/>
    <x v="0"/>
    <n v="1"/>
    <n v="29087.64"/>
    <n v="31617"/>
    <n v="178783.19999999998"/>
    <n v="31617"/>
    <n v="44695.800000000017"/>
    <x v="2"/>
    <x v="24"/>
    <x v="6"/>
  </r>
  <r>
    <s v="T227"/>
    <d v="2024-07-27T00:00:00"/>
    <x v="1"/>
    <x v="5"/>
    <x v="1"/>
    <n v="10"/>
    <n v="29162.6"/>
    <n v="33910"/>
    <n v="291626"/>
    <n v="339100"/>
    <n v="47474"/>
    <x v="2"/>
    <x v="4"/>
    <x v="6"/>
  </r>
  <r>
    <s v="T066"/>
    <d v="2024-07-28T00:00:00"/>
    <x v="10"/>
    <x v="4"/>
    <x v="1"/>
    <n v="5"/>
    <n v="37182.42"/>
    <n v="41778"/>
    <n v="185912.09999999998"/>
    <n v="208890"/>
    <n v="22977.900000000023"/>
    <x v="2"/>
    <x v="29"/>
    <x v="6"/>
  </r>
  <r>
    <s v="T152"/>
    <d v="2024-07-28T00:00:00"/>
    <x v="0"/>
    <x v="6"/>
    <x v="0"/>
    <n v="3"/>
    <n v="11356.8"/>
    <n v="12480"/>
    <n v="34070.399999999994"/>
    <n v="37440"/>
    <n v="3369.6000000000058"/>
    <x v="4"/>
    <x v="22"/>
    <x v="6"/>
  </r>
  <r>
    <s v="T159"/>
    <d v="2024-08-01T00:00:00"/>
    <x v="0"/>
    <x v="0"/>
    <x v="1"/>
    <n v="7"/>
    <n v="4068.1"/>
    <n v="4786"/>
    <n v="28476.7"/>
    <n v="33502"/>
    <n v="5025.2999999999993"/>
    <x v="0"/>
    <x v="0"/>
    <x v="7"/>
  </r>
  <r>
    <s v="T001"/>
    <d v="2024-08-02T00:00:00"/>
    <x v="10"/>
    <x v="7"/>
    <x v="1"/>
    <n v="2"/>
    <n v="22920.17"/>
    <n v="25187"/>
    <n v="116952.81"/>
    <n v="50374"/>
    <n v="23954.190000000002"/>
    <x v="0"/>
    <x v="0"/>
    <x v="7"/>
  </r>
  <r>
    <s v="T215"/>
    <d v="2024-08-02T00:00:00"/>
    <x v="5"/>
    <x v="6"/>
    <x v="0"/>
    <n v="7"/>
    <n v="33987.599999999999"/>
    <n v="41960"/>
    <n v="237913.19999999998"/>
    <n v="293720"/>
    <n v="55806.800000000017"/>
    <x v="1"/>
    <x v="18"/>
    <x v="7"/>
  </r>
  <r>
    <s v="T064"/>
    <d v="2024-08-03T00:00:00"/>
    <x v="2"/>
    <x v="0"/>
    <x v="0"/>
    <n v="5"/>
    <n v="9405.9"/>
    <n v="10451"/>
    <n v="47029.5"/>
    <n v="52255"/>
    <n v="5225.5"/>
    <x v="0"/>
    <x v="1"/>
    <x v="7"/>
  </r>
  <r>
    <s v="T113"/>
    <d v="2024-08-03T00:00:00"/>
    <x v="9"/>
    <x v="1"/>
    <x v="0"/>
    <n v="7"/>
    <n v="13138.2"/>
    <n v="16220"/>
    <n v="91967.400000000009"/>
    <n v="113540"/>
    <n v="21572.599999999991"/>
    <x v="1"/>
    <x v="16"/>
    <x v="7"/>
  </r>
  <r>
    <s v="T097"/>
    <d v="2024-08-04T00:00:00"/>
    <x v="10"/>
    <x v="0"/>
    <x v="1"/>
    <n v="10"/>
    <n v="13028.4"/>
    <n v="15510"/>
    <n v="130284"/>
    <n v="155100"/>
    <n v="24816"/>
    <x v="1"/>
    <x v="19"/>
    <x v="7"/>
  </r>
  <r>
    <s v="T205"/>
    <d v="2024-08-05T00:00:00"/>
    <x v="2"/>
    <x v="6"/>
    <x v="1"/>
    <n v="2"/>
    <n v="36221.9"/>
    <n v="42614"/>
    <n v="72443.8"/>
    <n v="85228"/>
    <n v="12784.199999999997"/>
    <x v="3"/>
    <x v="33"/>
    <x v="7"/>
  </r>
  <r>
    <s v="T154"/>
    <d v="2024-08-06T00:00:00"/>
    <x v="2"/>
    <x v="0"/>
    <x v="1"/>
    <n v="2"/>
    <n v="3848.8"/>
    <n v="4528"/>
    <n v="7697.6"/>
    <n v="9056"/>
    <n v="1358.3999999999996"/>
    <x v="4"/>
    <x v="23"/>
    <x v="7"/>
  </r>
  <r>
    <s v="T209"/>
    <d v="2024-08-06T00:00:00"/>
    <x v="6"/>
    <x v="4"/>
    <x v="1"/>
    <n v="2"/>
    <n v="34874.82"/>
    <n v="40086"/>
    <n v="69749.64"/>
    <n v="80172"/>
    <n v="10422.36"/>
    <x v="1"/>
    <x v="18"/>
    <x v="7"/>
  </r>
  <r>
    <s v="T143"/>
    <d v="2024-08-09T00:00:00"/>
    <x v="5"/>
    <x v="6"/>
    <x v="1"/>
    <n v="2"/>
    <n v="5927.12"/>
    <n v="6892"/>
    <n v="11854.24"/>
    <n v="13784"/>
    <n v="1929.7600000000002"/>
    <x v="4"/>
    <x v="22"/>
    <x v="7"/>
  </r>
  <r>
    <s v="T089"/>
    <d v="2024-08-10T00:00:00"/>
    <x v="5"/>
    <x v="6"/>
    <x v="1"/>
    <n v="6"/>
    <n v="35192"/>
    <n v="43990"/>
    <n v="211152"/>
    <n v="263940"/>
    <n v="52788"/>
    <x v="5"/>
    <x v="11"/>
    <x v="7"/>
  </r>
  <r>
    <s v="T260"/>
    <d v="2024-08-10T00:00:00"/>
    <x v="9"/>
    <x v="6"/>
    <x v="1"/>
    <n v="4"/>
    <n v="38601.64"/>
    <n v="46508"/>
    <n v="154406.56"/>
    <n v="186032"/>
    <n v="31625.440000000002"/>
    <x v="5"/>
    <x v="11"/>
    <x v="7"/>
  </r>
  <r>
    <s v="T133"/>
    <d v="2024-08-11T00:00:00"/>
    <x v="6"/>
    <x v="3"/>
    <x v="0"/>
    <n v="10"/>
    <n v="3583.44"/>
    <n v="4424"/>
    <n v="35834.400000000001"/>
    <n v="44240"/>
    <n v="8405.5999999999985"/>
    <x v="1"/>
    <x v="18"/>
    <x v="7"/>
  </r>
  <r>
    <s v="T183"/>
    <d v="2024-08-12T00:00:00"/>
    <x v="6"/>
    <x v="4"/>
    <x v="1"/>
    <n v="1"/>
    <n v="7068.87"/>
    <n v="8727"/>
    <n v="7068.87"/>
    <n v="8727"/>
    <n v="1658.13"/>
    <x v="0"/>
    <x v="1"/>
    <x v="7"/>
  </r>
  <r>
    <s v="T027"/>
    <d v="2024-08-15T00:00:00"/>
    <x v="5"/>
    <x v="4"/>
    <x v="1"/>
    <n v="10"/>
    <n v="40663.360000000001"/>
    <n v="48992"/>
    <n v="70057"/>
    <n v="489920"/>
    <n v="-89005.799999999988"/>
    <x v="4"/>
    <x v="28"/>
    <x v="7"/>
  </r>
  <r>
    <s v="T191"/>
    <d v="2024-08-17T00:00:00"/>
    <x v="1"/>
    <x v="1"/>
    <x v="0"/>
    <n v="2"/>
    <n v="19074.849999999999"/>
    <n v="22441"/>
    <n v="38149.699999999997"/>
    <n v="44882"/>
    <n v="6732.3000000000029"/>
    <x v="3"/>
    <x v="33"/>
    <x v="7"/>
  </r>
  <r>
    <s v="T206"/>
    <d v="2024-08-17T00:00:00"/>
    <x v="10"/>
    <x v="5"/>
    <x v="1"/>
    <n v="3"/>
    <n v="32736.04"/>
    <n v="39922"/>
    <n v="98208.12"/>
    <n v="119766"/>
    <n v="21557.880000000005"/>
    <x v="3"/>
    <x v="6"/>
    <x v="7"/>
  </r>
  <r>
    <s v="T101"/>
    <d v="2024-08-19T00:00:00"/>
    <x v="6"/>
    <x v="7"/>
    <x v="0"/>
    <n v="5"/>
    <n v="3187.8"/>
    <n v="3542"/>
    <n v="15939"/>
    <n v="17710"/>
    <n v="1771"/>
    <x v="0"/>
    <x v="21"/>
    <x v="7"/>
  </r>
  <r>
    <s v="T018"/>
    <d v="2024-08-21T00:00:00"/>
    <x v="6"/>
    <x v="2"/>
    <x v="0"/>
    <n v="1"/>
    <n v="13576.82"/>
    <n v="15787"/>
    <n v="65178"/>
    <n v="15787"/>
    <n v="7242"/>
    <x v="0"/>
    <x v="1"/>
    <x v="7"/>
  </r>
  <r>
    <s v="T039"/>
    <d v="2024-08-25T00:00:00"/>
    <x v="0"/>
    <x v="6"/>
    <x v="1"/>
    <n v="6"/>
    <n v="8266.4"/>
    <n v="10333"/>
    <n v="71964"/>
    <n v="61998"/>
    <n v="17991"/>
    <x v="1"/>
    <x v="2"/>
    <x v="7"/>
  </r>
  <r>
    <s v="T080"/>
    <d v="2024-08-25T00:00:00"/>
    <x v="9"/>
    <x v="3"/>
    <x v="1"/>
    <n v="2"/>
    <n v="24426"/>
    <n v="26550"/>
    <n v="48852"/>
    <n v="53100"/>
    <n v="4248"/>
    <x v="4"/>
    <x v="28"/>
    <x v="7"/>
  </r>
  <r>
    <s v="T176"/>
    <d v="2024-08-26T00:00:00"/>
    <x v="10"/>
    <x v="1"/>
    <x v="1"/>
    <n v="7"/>
    <n v="12734.54"/>
    <n v="13994"/>
    <n v="89141.78"/>
    <n v="97958"/>
    <n v="8816.2200000000012"/>
    <x v="1"/>
    <x v="19"/>
    <x v="7"/>
  </r>
  <r>
    <s v="T285"/>
    <d v="2024-08-28T00:00:00"/>
    <x v="1"/>
    <x v="4"/>
    <x v="0"/>
    <n v="6"/>
    <n v="7477.68"/>
    <n v="8902"/>
    <n v="44866.080000000002"/>
    <n v="53412"/>
    <n v="8545.9199999999983"/>
    <x v="4"/>
    <x v="15"/>
    <x v="7"/>
  </r>
  <r>
    <s v="T051"/>
    <d v="2024-08-30T00:00:00"/>
    <x v="0"/>
    <x v="0"/>
    <x v="1"/>
    <n v="9"/>
    <n v="10039.959999999999"/>
    <n v="10913"/>
    <n v="90359.639999999985"/>
    <n v="98217"/>
    <n v="7857.3600000000151"/>
    <x v="3"/>
    <x v="35"/>
    <x v="7"/>
  </r>
  <r>
    <s v="T015"/>
    <d v="2024-09-01T00:00:00"/>
    <x v="0"/>
    <x v="2"/>
    <x v="1"/>
    <n v="8"/>
    <n v="28018.58"/>
    <n v="34169"/>
    <n v="23266.799999999999"/>
    <n v="273352"/>
    <n v="2585.2000000000007"/>
    <x v="2"/>
    <x v="3"/>
    <x v="8"/>
  </r>
  <r>
    <s v="T172"/>
    <d v="2024-09-01T00:00:00"/>
    <x v="10"/>
    <x v="6"/>
    <x v="0"/>
    <n v="6"/>
    <n v="35413.56"/>
    <n v="38493"/>
    <n v="212481.36"/>
    <n v="230958"/>
    <n v="18476.640000000014"/>
    <x v="3"/>
    <x v="30"/>
    <x v="8"/>
  </r>
  <r>
    <s v="T265"/>
    <d v="2024-09-03T00:00:00"/>
    <x v="9"/>
    <x v="4"/>
    <x v="1"/>
    <n v="6"/>
    <n v="21319.760000000002"/>
    <n v="24227"/>
    <n v="127918.56000000001"/>
    <n v="145362"/>
    <n v="17443.439999999988"/>
    <x v="0"/>
    <x v="20"/>
    <x v="8"/>
  </r>
  <r>
    <s v="T072"/>
    <d v="2024-09-05T00:00:00"/>
    <x v="4"/>
    <x v="7"/>
    <x v="1"/>
    <n v="3"/>
    <n v="24003.54"/>
    <n v="29634"/>
    <n v="72010.62"/>
    <n v="88902"/>
    <n v="16891.380000000005"/>
    <x v="5"/>
    <x v="11"/>
    <x v="8"/>
  </r>
  <r>
    <s v="T087"/>
    <d v="2024-09-05T00:00:00"/>
    <x v="6"/>
    <x v="4"/>
    <x v="0"/>
    <n v="2"/>
    <n v="43699.5"/>
    <n v="48555"/>
    <n v="87399"/>
    <n v="97110"/>
    <n v="9711"/>
    <x v="5"/>
    <x v="12"/>
    <x v="8"/>
  </r>
  <r>
    <s v="T137"/>
    <d v="2024-09-06T00:00:00"/>
    <x v="10"/>
    <x v="6"/>
    <x v="0"/>
    <n v="1"/>
    <n v="18508.22"/>
    <n v="22571"/>
    <n v="18508.22"/>
    <n v="22571"/>
    <n v="4062.7799999999988"/>
    <x v="1"/>
    <x v="2"/>
    <x v="8"/>
  </r>
  <r>
    <s v="T174"/>
    <d v="2024-09-06T00:00:00"/>
    <x v="9"/>
    <x v="6"/>
    <x v="1"/>
    <n v="8"/>
    <n v="9360.36"/>
    <n v="11556"/>
    <n v="74882.880000000005"/>
    <n v="92448"/>
    <n v="17565.119999999995"/>
    <x v="1"/>
    <x v="16"/>
    <x v="8"/>
  </r>
  <r>
    <s v="T233"/>
    <d v="2024-09-07T00:00:00"/>
    <x v="2"/>
    <x v="4"/>
    <x v="0"/>
    <n v="3"/>
    <n v="30941.4"/>
    <n v="36835"/>
    <n v="92824.200000000012"/>
    <n v="110505"/>
    <n v="17680.799999999988"/>
    <x v="0"/>
    <x v="1"/>
    <x v="8"/>
  </r>
  <r>
    <s v="T164"/>
    <d v="2024-09-08T00:00:00"/>
    <x v="1"/>
    <x v="0"/>
    <x v="0"/>
    <n v="3"/>
    <n v="11008.98"/>
    <n v="12654"/>
    <n v="33026.94"/>
    <n v="37962"/>
    <n v="4935.0599999999977"/>
    <x v="2"/>
    <x v="29"/>
    <x v="8"/>
  </r>
  <r>
    <s v="T295"/>
    <d v="2024-09-10T00:00:00"/>
    <x v="8"/>
    <x v="5"/>
    <x v="0"/>
    <n v="6"/>
    <n v="36360.44"/>
    <n v="44342"/>
    <n v="218162.64"/>
    <n v="266052"/>
    <n v="47889.359999999986"/>
    <x v="5"/>
    <x v="27"/>
    <x v="8"/>
  </r>
  <r>
    <s v="T105"/>
    <d v="2024-09-12T00:00:00"/>
    <x v="2"/>
    <x v="5"/>
    <x v="1"/>
    <n v="1"/>
    <n v="22036.559999999998"/>
    <n v="26234"/>
    <n v="22036.559999999998"/>
    <n v="26234"/>
    <n v="4197.4400000000023"/>
    <x v="2"/>
    <x v="4"/>
    <x v="8"/>
  </r>
  <r>
    <s v="T033"/>
    <d v="2024-09-15T00:00:00"/>
    <x v="10"/>
    <x v="3"/>
    <x v="1"/>
    <n v="2"/>
    <n v="35447.4"/>
    <n v="39386"/>
    <n v="161130.04999999999"/>
    <n v="78772"/>
    <n v="19914.950000000012"/>
    <x v="3"/>
    <x v="30"/>
    <x v="8"/>
  </r>
  <r>
    <s v="T017"/>
    <d v="2024-09-18T00:00:00"/>
    <x v="6"/>
    <x v="2"/>
    <x v="0"/>
    <n v="7"/>
    <n v="26469"/>
    <n v="31140"/>
    <n v="161793.25"/>
    <n v="217980"/>
    <n v="28551.75"/>
    <x v="1"/>
    <x v="19"/>
    <x v="8"/>
  </r>
  <r>
    <s v="T189"/>
    <d v="2024-09-18T00:00:00"/>
    <x v="5"/>
    <x v="1"/>
    <x v="1"/>
    <n v="10"/>
    <n v="11943.68"/>
    <n v="13888"/>
    <n v="119436.8"/>
    <n v="138880"/>
    <n v="19443.199999999997"/>
    <x v="1"/>
    <x v="18"/>
    <x v="8"/>
  </r>
  <r>
    <s v="T225"/>
    <d v="2024-09-18T00:00:00"/>
    <x v="0"/>
    <x v="1"/>
    <x v="1"/>
    <n v="9"/>
    <n v="13032.6"/>
    <n v="15515"/>
    <n v="117293.40000000001"/>
    <n v="139635"/>
    <n v="22341.599999999991"/>
    <x v="2"/>
    <x v="3"/>
    <x v="8"/>
  </r>
  <r>
    <s v="T043"/>
    <d v="2024-09-19T00:00:00"/>
    <x v="1"/>
    <x v="1"/>
    <x v="1"/>
    <n v="1"/>
    <n v="41948.22"/>
    <n v="48777"/>
    <n v="195967.5"/>
    <n v="48777"/>
    <n v="29282.5"/>
    <x v="5"/>
    <x v="27"/>
    <x v="8"/>
  </r>
  <r>
    <s v="T296"/>
    <d v="2024-09-19T00:00:00"/>
    <x v="10"/>
    <x v="3"/>
    <x v="1"/>
    <n v="4"/>
    <n v="29279.88"/>
    <n v="34857"/>
    <n v="117119.52"/>
    <n v="139428"/>
    <n v="22308.479999999996"/>
    <x v="5"/>
    <x v="13"/>
    <x v="8"/>
  </r>
  <r>
    <s v="T262"/>
    <d v="2024-09-21T00:00:00"/>
    <x v="8"/>
    <x v="6"/>
    <x v="1"/>
    <n v="4"/>
    <n v="42948.9"/>
    <n v="47721"/>
    <n v="171795.6"/>
    <n v="190884"/>
    <n v="19088.399999999994"/>
    <x v="0"/>
    <x v="0"/>
    <x v="8"/>
  </r>
  <r>
    <s v="T264"/>
    <d v="2024-09-22T00:00:00"/>
    <x v="0"/>
    <x v="5"/>
    <x v="0"/>
    <n v="7"/>
    <n v="34327.300000000003"/>
    <n v="38570"/>
    <n v="240291.10000000003"/>
    <n v="269990"/>
    <n v="29698.899999999965"/>
    <x v="5"/>
    <x v="13"/>
    <x v="8"/>
  </r>
  <r>
    <s v="T118"/>
    <d v="2024-09-23T00:00:00"/>
    <x v="9"/>
    <x v="4"/>
    <x v="0"/>
    <n v="4"/>
    <n v="37430.729999999996"/>
    <n v="42057"/>
    <n v="149722.91999999998"/>
    <n v="168228"/>
    <n v="18505.080000000016"/>
    <x v="4"/>
    <x v="22"/>
    <x v="8"/>
  </r>
  <r>
    <s v="T207"/>
    <d v="2024-09-24T00:00:00"/>
    <x v="0"/>
    <x v="1"/>
    <x v="0"/>
    <n v="8"/>
    <n v="13743.2"/>
    <n v="16760"/>
    <n v="109945.60000000001"/>
    <n v="134080"/>
    <n v="24134.399999999994"/>
    <x v="2"/>
    <x v="3"/>
    <x v="8"/>
  </r>
  <r>
    <s v="T085"/>
    <d v="2024-09-25T00:00:00"/>
    <x v="8"/>
    <x v="2"/>
    <x v="1"/>
    <n v="7"/>
    <n v="7367.4"/>
    <n v="8186"/>
    <n v="51571.799999999996"/>
    <n v="57302"/>
    <n v="5730.2000000000044"/>
    <x v="4"/>
    <x v="22"/>
    <x v="8"/>
  </r>
  <r>
    <s v="T237"/>
    <d v="2024-09-28T00:00:00"/>
    <x v="5"/>
    <x v="6"/>
    <x v="1"/>
    <n v="1"/>
    <n v="20927.849999999999"/>
    <n v="24621"/>
    <n v="20927.849999999999"/>
    <n v="24621"/>
    <n v="3693.1500000000015"/>
    <x v="1"/>
    <x v="16"/>
    <x v="8"/>
  </r>
  <r>
    <s v="T170"/>
    <d v="2024-09-30T00:00:00"/>
    <x v="2"/>
    <x v="0"/>
    <x v="0"/>
    <n v="4"/>
    <n v="25058.85"/>
    <n v="29481"/>
    <n v="100235.4"/>
    <n v="117924"/>
    <n v="17688.600000000006"/>
    <x v="5"/>
    <x v="13"/>
    <x v="8"/>
  </r>
  <r>
    <s v="T168"/>
    <d v="2024-10-01T00:00:00"/>
    <x v="4"/>
    <x v="2"/>
    <x v="0"/>
    <n v="9"/>
    <n v="27989.06"/>
    <n v="34133"/>
    <n v="251901.54"/>
    <n v="307197"/>
    <n v="55295.459999999992"/>
    <x v="1"/>
    <x v="8"/>
    <x v="9"/>
  </r>
  <r>
    <s v="T256"/>
    <d v="2024-10-01T00:00:00"/>
    <x v="4"/>
    <x v="2"/>
    <x v="1"/>
    <n v="10"/>
    <n v="16309.6"/>
    <n v="20387"/>
    <n v="163096"/>
    <n v="203870"/>
    <n v="40774"/>
    <x v="4"/>
    <x v="26"/>
    <x v="9"/>
  </r>
  <r>
    <s v="T115"/>
    <d v="2024-10-02T00:00:00"/>
    <x v="2"/>
    <x v="7"/>
    <x v="1"/>
    <n v="5"/>
    <n v="36100.239999999998"/>
    <n v="41023"/>
    <n v="180501.19999999998"/>
    <n v="205115"/>
    <n v="24613.800000000017"/>
    <x v="5"/>
    <x v="31"/>
    <x v="9"/>
  </r>
  <r>
    <s v="T293"/>
    <d v="2024-10-02T00:00:00"/>
    <x v="7"/>
    <x v="4"/>
    <x v="1"/>
    <n v="8"/>
    <n v="12922.56"/>
    <n v="15384"/>
    <n v="103380.48"/>
    <n v="123072"/>
    <n v="19691.520000000004"/>
    <x v="3"/>
    <x v="35"/>
    <x v="9"/>
  </r>
  <r>
    <s v="T213"/>
    <d v="2024-10-03T00:00:00"/>
    <x v="1"/>
    <x v="0"/>
    <x v="1"/>
    <n v="6"/>
    <n v="13289.67"/>
    <n v="16407"/>
    <n v="79738.02"/>
    <n v="98442"/>
    <n v="18703.979999999996"/>
    <x v="0"/>
    <x v="20"/>
    <x v="9"/>
  </r>
  <r>
    <s v="T023"/>
    <d v="2024-10-04T00:00:00"/>
    <x v="6"/>
    <x v="5"/>
    <x v="0"/>
    <n v="2"/>
    <n v="33971.1"/>
    <n v="39966"/>
    <n v="41100.200000000004"/>
    <n v="79932"/>
    <n v="-4931"/>
    <x v="4"/>
    <x v="28"/>
    <x v="9"/>
  </r>
  <r>
    <s v="T123"/>
    <d v="2024-10-04T00:00:00"/>
    <x v="0"/>
    <x v="1"/>
    <x v="1"/>
    <n v="10"/>
    <n v="26865.439999999999"/>
    <n v="32368"/>
    <n v="268654.39999999997"/>
    <n v="323680"/>
    <n v="55025.600000000035"/>
    <x v="1"/>
    <x v="19"/>
    <x v="9"/>
  </r>
  <r>
    <s v="T220"/>
    <d v="2024-10-07T00:00:00"/>
    <x v="9"/>
    <x v="7"/>
    <x v="0"/>
    <n v="9"/>
    <n v="22898.33"/>
    <n v="25163"/>
    <n v="206084.97000000003"/>
    <n v="226467"/>
    <n v="20382.02999999997"/>
    <x v="4"/>
    <x v="23"/>
    <x v="9"/>
  </r>
  <r>
    <s v="T032"/>
    <d v="2024-10-09T00:00:00"/>
    <x v="1"/>
    <x v="3"/>
    <x v="1"/>
    <n v="4"/>
    <n v="13373.05"/>
    <n v="15733"/>
    <n v="99006.8"/>
    <n v="62932"/>
    <n v="82398.080000000002"/>
    <x v="3"/>
    <x v="35"/>
    <x v="9"/>
  </r>
  <r>
    <s v="T010"/>
    <d v="2024-10-09T00:00:00"/>
    <x v="3"/>
    <x v="7"/>
    <x v="0"/>
    <n v="3"/>
    <n v="39909.72"/>
    <n v="48084"/>
    <n v="144636.79999999999"/>
    <n v="144252"/>
    <n v="19723.200000000012"/>
    <x v="2"/>
    <x v="29"/>
    <x v="9"/>
  </r>
  <r>
    <s v="T273"/>
    <d v="2024-10-10T00:00:00"/>
    <x v="8"/>
    <x v="6"/>
    <x v="1"/>
    <n v="8"/>
    <n v="13276"/>
    <n v="16595"/>
    <n v="106208"/>
    <n v="132760"/>
    <n v="26552"/>
    <x v="4"/>
    <x v="26"/>
    <x v="9"/>
  </r>
  <r>
    <s v="T160"/>
    <d v="2024-10-12T00:00:00"/>
    <x v="10"/>
    <x v="5"/>
    <x v="0"/>
    <n v="6"/>
    <n v="39694.159999999996"/>
    <n v="46156"/>
    <n v="238164.95999999996"/>
    <n v="276936"/>
    <n v="38771.040000000037"/>
    <x v="1"/>
    <x v="18"/>
    <x v="9"/>
  </r>
  <r>
    <s v="T167"/>
    <d v="2024-10-12T00:00:00"/>
    <x v="3"/>
    <x v="2"/>
    <x v="0"/>
    <n v="5"/>
    <n v="27418.45"/>
    <n v="32257"/>
    <n v="137092.25"/>
    <n v="161285"/>
    <n v="24192.75"/>
    <x v="0"/>
    <x v="14"/>
    <x v="9"/>
  </r>
  <r>
    <s v="T272"/>
    <d v="2024-10-12T00:00:00"/>
    <x v="0"/>
    <x v="5"/>
    <x v="0"/>
    <n v="1"/>
    <n v="17121.650000000001"/>
    <n v="18815"/>
    <n v="17121.650000000001"/>
    <n v="18815"/>
    <n v="1693.3499999999985"/>
    <x v="3"/>
    <x v="30"/>
    <x v="9"/>
  </r>
  <r>
    <s v="T131"/>
    <d v="2024-10-13T00:00:00"/>
    <x v="9"/>
    <x v="5"/>
    <x v="1"/>
    <n v="6"/>
    <n v="36838.5"/>
    <n v="44925"/>
    <n v="221031"/>
    <n v="269550"/>
    <n v="48519"/>
    <x v="4"/>
    <x v="15"/>
    <x v="9"/>
  </r>
  <r>
    <s v="T274"/>
    <d v="2024-10-13T00:00:00"/>
    <x v="6"/>
    <x v="7"/>
    <x v="1"/>
    <n v="5"/>
    <n v="16581.599999999999"/>
    <n v="18424"/>
    <n v="82908"/>
    <n v="92120"/>
    <n v="9212"/>
    <x v="1"/>
    <x v="18"/>
    <x v="9"/>
  </r>
  <r>
    <s v="T197"/>
    <d v="2024-10-14T00:00:00"/>
    <x v="4"/>
    <x v="4"/>
    <x v="1"/>
    <n v="4"/>
    <n v="28767.200000000001"/>
    <n v="35959"/>
    <n v="115068.8"/>
    <n v="143836"/>
    <n v="28767.199999999997"/>
    <x v="5"/>
    <x v="13"/>
    <x v="9"/>
  </r>
  <r>
    <s v="T223"/>
    <d v="2024-10-17T00:00:00"/>
    <x v="10"/>
    <x v="2"/>
    <x v="1"/>
    <n v="1"/>
    <n v="23509.08"/>
    <n v="27987"/>
    <n v="23509.08"/>
    <n v="27987"/>
    <n v="4477.9199999999983"/>
    <x v="2"/>
    <x v="4"/>
    <x v="9"/>
  </r>
  <r>
    <s v="T030"/>
    <d v="2024-10-19T00:00:00"/>
    <x v="4"/>
    <x v="4"/>
    <x v="0"/>
    <n v="2"/>
    <n v="4957.88"/>
    <n v="5389"/>
    <n v="109416"/>
    <n v="10778"/>
    <n v="27354"/>
    <x v="5"/>
    <x v="27"/>
    <x v="9"/>
  </r>
  <r>
    <s v="T100"/>
    <d v="2024-10-19T00:00:00"/>
    <x v="3"/>
    <x v="6"/>
    <x v="1"/>
    <n v="8"/>
    <n v="32301"/>
    <n v="35890"/>
    <n v="258408"/>
    <n v="287120"/>
    <n v="28712"/>
    <x v="5"/>
    <x v="32"/>
    <x v="9"/>
  </r>
  <r>
    <s v="T109"/>
    <d v="2024-10-20T00:00:00"/>
    <x v="2"/>
    <x v="5"/>
    <x v="1"/>
    <n v="4"/>
    <n v="1875.23"/>
    <n v="2107"/>
    <n v="7500.92"/>
    <n v="8428"/>
    <n v="927.07999999999993"/>
    <x v="1"/>
    <x v="16"/>
    <x v="9"/>
  </r>
  <r>
    <s v="T246"/>
    <d v="2024-10-24T00:00:00"/>
    <x v="6"/>
    <x v="2"/>
    <x v="0"/>
    <n v="9"/>
    <n v="3983.6"/>
    <n v="4330"/>
    <n v="35852.400000000001"/>
    <n v="38970"/>
    <n v="3117.5999999999985"/>
    <x v="1"/>
    <x v="8"/>
    <x v="9"/>
  </r>
  <r>
    <s v="T255"/>
    <d v="2024-10-24T00:00:00"/>
    <x v="5"/>
    <x v="2"/>
    <x v="0"/>
    <n v="2"/>
    <n v="35965.599999999999"/>
    <n v="44957"/>
    <n v="71931.199999999997"/>
    <n v="89914"/>
    <n v="17982.800000000003"/>
    <x v="3"/>
    <x v="25"/>
    <x v="9"/>
  </r>
  <r>
    <s v="T157"/>
    <d v="2024-10-25T00:00:00"/>
    <x v="9"/>
    <x v="4"/>
    <x v="1"/>
    <n v="8"/>
    <n v="27535.25"/>
    <n v="33175"/>
    <n v="220282"/>
    <n v="265400"/>
    <n v="45118"/>
    <x v="5"/>
    <x v="13"/>
    <x v="9"/>
  </r>
  <r>
    <s v="T299"/>
    <d v="2024-10-29T00:00:00"/>
    <x v="9"/>
    <x v="0"/>
    <x v="1"/>
    <n v="7"/>
    <n v="22102.080000000002"/>
    <n v="25116"/>
    <n v="154714.56"/>
    <n v="175812"/>
    <n v="21097.440000000002"/>
    <x v="4"/>
    <x v="26"/>
    <x v="9"/>
  </r>
  <r>
    <s v="T138"/>
    <d v="2024-11-03T00:00:00"/>
    <x v="1"/>
    <x v="6"/>
    <x v="1"/>
    <n v="9"/>
    <n v="45070.48"/>
    <n v="49528"/>
    <n v="405634.32"/>
    <n v="445752"/>
    <n v="40117.679999999993"/>
    <x v="0"/>
    <x v="0"/>
    <x v="10"/>
  </r>
  <r>
    <s v="T177"/>
    <d v="2024-11-03T00:00:00"/>
    <x v="6"/>
    <x v="3"/>
    <x v="1"/>
    <n v="1"/>
    <n v="38695.800000000003"/>
    <n v="47190"/>
    <n v="38695.800000000003"/>
    <n v="47190"/>
    <n v="8494.1999999999971"/>
    <x v="1"/>
    <x v="19"/>
    <x v="10"/>
  </r>
  <r>
    <s v="T232"/>
    <d v="2024-11-03T00:00:00"/>
    <x v="4"/>
    <x v="7"/>
    <x v="0"/>
    <n v="2"/>
    <n v="25105.119999999999"/>
    <n v="30616"/>
    <n v="50210.239999999998"/>
    <n v="61232"/>
    <n v="11021.760000000002"/>
    <x v="5"/>
    <x v="32"/>
    <x v="10"/>
  </r>
  <r>
    <s v="T253"/>
    <d v="2024-11-04T00:00:00"/>
    <x v="9"/>
    <x v="7"/>
    <x v="0"/>
    <n v="7"/>
    <n v="36068.46"/>
    <n v="41458"/>
    <n v="252479.22"/>
    <n v="290206"/>
    <n v="37726.78"/>
    <x v="4"/>
    <x v="15"/>
    <x v="10"/>
  </r>
  <r>
    <s v="T222"/>
    <d v="2024-11-07T00:00:00"/>
    <x v="7"/>
    <x v="5"/>
    <x v="1"/>
    <n v="6"/>
    <n v="3412.2799999999997"/>
    <n v="3709"/>
    <n v="20473.68"/>
    <n v="22254"/>
    <n v="1780.3199999999997"/>
    <x v="5"/>
    <x v="12"/>
    <x v="10"/>
  </r>
  <r>
    <s v="T045"/>
    <d v="2024-11-08T00:00:00"/>
    <x v="8"/>
    <x v="1"/>
    <x v="1"/>
    <n v="3"/>
    <n v="31327.84"/>
    <n v="34052"/>
    <n v="72958.679999999993"/>
    <n v="102156"/>
    <n v="16015.320000000007"/>
    <x v="2"/>
    <x v="9"/>
    <x v="10"/>
  </r>
  <r>
    <s v="T078"/>
    <d v="2024-11-08T00:00:00"/>
    <x v="4"/>
    <x v="5"/>
    <x v="0"/>
    <n v="9"/>
    <n v="15911.64"/>
    <n v="19644"/>
    <n v="143204.76"/>
    <n v="176796"/>
    <n v="33591.239999999991"/>
    <x v="2"/>
    <x v="7"/>
    <x v="10"/>
  </r>
  <r>
    <s v="T192"/>
    <d v="2024-11-09T00:00:00"/>
    <x v="3"/>
    <x v="0"/>
    <x v="1"/>
    <n v="5"/>
    <n v="10448.620000000001"/>
    <n v="11482"/>
    <n v="52243.100000000006"/>
    <n v="57410"/>
    <n v="5166.8999999999942"/>
    <x v="0"/>
    <x v="20"/>
    <x v="10"/>
  </r>
  <r>
    <s v="T061"/>
    <d v="2024-11-10T00:00:00"/>
    <x v="2"/>
    <x v="7"/>
    <x v="0"/>
    <n v="8"/>
    <n v="8361.5400000000009"/>
    <n v="10197"/>
    <n v="66892.320000000007"/>
    <n v="81576"/>
    <n v="14683.679999999993"/>
    <x v="2"/>
    <x v="4"/>
    <x v="10"/>
  </r>
  <r>
    <s v="T125"/>
    <d v="2024-11-13T00:00:00"/>
    <x v="7"/>
    <x v="6"/>
    <x v="1"/>
    <n v="4"/>
    <n v="43262.559999999998"/>
    <n v="49162"/>
    <n v="173050.23999999999"/>
    <n v="196648"/>
    <n v="23597.760000000009"/>
    <x v="5"/>
    <x v="32"/>
    <x v="10"/>
  </r>
  <r>
    <s v="T056"/>
    <d v="2024-11-14T00:00:00"/>
    <x v="6"/>
    <x v="7"/>
    <x v="0"/>
    <n v="2"/>
    <n v="16590.489999999998"/>
    <n v="18641"/>
    <n v="33180.979999999996"/>
    <n v="37282"/>
    <n v="4101.0200000000041"/>
    <x v="1"/>
    <x v="18"/>
    <x v="10"/>
  </r>
  <r>
    <s v="T086"/>
    <d v="2024-11-16T00:00:00"/>
    <x v="3"/>
    <x v="1"/>
    <x v="1"/>
    <n v="7"/>
    <n v="22873.89"/>
    <n v="25701"/>
    <n v="160117.22999999998"/>
    <n v="179907"/>
    <n v="19789.770000000019"/>
    <x v="2"/>
    <x v="3"/>
    <x v="10"/>
  </r>
  <r>
    <s v="T095"/>
    <d v="2024-11-18T00:00:00"/>
    <x v="2"/>
    <x v="4"/>
    <x v="0"/>
    <n v="4"/>
    <n v="39761.15"/>
    <n v="47905"/>
    <n v="159044.6"/>
    <n v="191620"/>
    <n v="32575.399999999994"/>
    <x v="3"/>
    <x v="30"/>
    <x v="10"/>
  </r>
  <r>
    <s v="T153"/>
    <d v="2024-11-18T00:00:00"/>
    <x v="1"/>
    <x v="4"/>
    <x v="0"/>
    <n v="4"/>
    <n v="28646.489999999998"/>
    <n v="32927"/>
    <n v="114585.95999999999"/>
    <n v="131708"/>
    <n v="17122.040000000008"/>
    <x v="2"/>
    <x v="29"/>
    <x v="10"/>
  </r>
  <r>
    <s v="T254"/>
    <d v="2024-11-19T00:00:00"/>
    <x v="6"/>
    <x v="5"/>
    <x v="0"/>
    <n v="10"/>
    <n v="27446.9"/>
    <n v="31915"/>
    <n v="274469"/>
    <n v="319150"/>
    <n v="44681"/>
    <x v="1"/>
    <x v="5"/>
    <x v="10"/>
  </r>
  <r>
    <s v="T106"/>
    <d v="2024-11-23T00:00:00"/>
    <x v="1"/>
    <x v="0"/>
    <x v="1"/>
    <n v="4"/>
    <n v="32867.919999999998"/>
    <n v="35726"/>
    <n v="131471.67999999999"/>
    <n v="142904"/>
    <n v="11432.320000000007"/>
    <x v="4"/>
    <x v="15"/>
    <x v="10"/>
  </r>
  <r>
    <s v="T110"/>
    <d v="2024-11-23T00:00:00"/>
    <x v="8"/>
    <x v="0"/>
    <x v="1"/>
    <n v="2"/>
    <n v="39979.75"/>
    <n v="47035"/>
    <n v="79959.5"/>
    <n v="94070"/>
    <n v="14110.5"/>
    <x v="4"/>
    <x v="10"/>
    <x v="10"/>
  </r>
  <r>
    <s v="T182"/>
    <d v="2024-11-23T00:00:00"/>
    <x v="1"/>
    <x v="4"/>
    <x v="0"/>
    <n v="6"/>
    <n v="36960.550000000003"/>
    <n v="43483"/>
    <n v="221763.30000000002"/>
    <n v="260898"/>
    <n v="39134.699999999983"/>
    <x v="2"/>
    <x v="7"/>
    <x v="10"/>
  </r>
  <r>
    <s v="T234"/>
    <d v="2024-11-26T00:00:00"/>
    <x v="4"/>
    <x v="5"/>
    <x v="1"/>
    <n v="9"/>
    <n v="23850.879999999997"/>
    <n v="28736"/>
    <n v="214657.91999999998"/>
    <n v="258624"/>
    <n v="43966.080000000016"/>
    <x v="3"/>
    <x v="25"/>
    <x v="10"/>
  </r>
  <r>
    <s v="T037"/>
    <d v="2024-11-27T00:00:00"/>
    <x v="5"/>
    <x v="6"/>
    <x v="1"/>
    <n v="6"/>
    <n v="6919.83"/>
    <n v="8543"/>
    <n v="256488"/>
    <n v="51258"/>
    <n v="281723.88"/>
    <x v="1"/>
    <x v="18"/>
    <x v="10"/>
  </r>
  <r>
    <s v="T199"/>
    <d v="2024-11-27T00:00:00"/>
    <x v="2"/>
    <x v="2"/>
    <x v="0"/>
    <n v="9"/>
    <n v="9315.09"/>
    <n v="11223"/>
    <n v="83835.81"/>
    <n v="101007"/>
    <n v="17171.190000000002"/>
    <x v="1"/>
    <x v="18"/>
    <x v="10"/>
  </r>
  <r>
    <s v="T129"/>
    <d v="2024-11-28T00:00:00"/>
    <x v="10"/>
    <x v="6"/>
    <x v="1"/>
    <n v="10"/>
    <n v="3763.2"/>
    <n v="4480"/>
    <n v="37632"/>
    <n v="44800"/>
    <n v="7168"/>
    <x v="3"/>
    <x v="34"/>
    <x v="10"/>
  </r>
  <r>
    <s v="T019"/>
    <d v="2024-11-29T00:00:00"/>
    <x v="3"/>
    <x v="2"/>
    <x v="1"/>
    <n v="4"/>
    <n v="25352.799999999999"/>
    <n v="28810"/>
    <n v="70510.5"/>
    <n v="115240"/>
    <n v="25303.020000000004"/>
    <x v="4"/>
    <x v="22"/>
    <x v="10"/>
  </r>
  <r>
    <s v="T235"/>
    <d v="2024-11-29T00:00:00"/>
    <x v="4"/>
    <x v="5"/>
    <x v="1"/>
    <n v="4"/>
    <n v="13832.24"/>
    <n v="16084"/>
    <n v="55328.959999999999"/>
    <n v="64336"/>
    <n v="9007.0400000000009"/>
    <x v="3"/>
    <x v="34"/>
    <x v="10"/>
  </r>
  <r>
    <s v="T244"/>
    <d v="2024-12-01T00:00:00"/>
    <x v="4"/>
    <x v="4"/>
    <x v="1"/>
    <n v="1"/>
    <n v="20604.78"/>
    <n v="25438"/>
    <n v="20604.78"/>
    <n v="25438"/>
    <n v="4833.2200000000012"/>
    <x v="0"/>
    <x v="14"/>
    <x v="11"/>
  </r>
  <r>
    <s v="T121"/>
    <d v="2024-12-01T00:00:00"/>
    <x v="6"/>
    <x v="4"/>
    <x v="1"/>
    <n v="8"/>
    <n v="3304.12"/>
    <n v="3842"/>
    <n v="26432.959999999999"/>
    <n v="30736"/>
    <n v="4303.0400000000009"/>
    <x v="4"/>
    <x v="22"/>
    <x v="11"/>
  </r>
  <r>
    <s v="T291"/>
    <d v="2024-12-01T00:00:00"/>
    <x v="4"/>
    <x v="4"/>
    <x v="0"/>
    <n v="1"/>
    <n v="12165.12"/>
    <n v="13824"/>
    <n v="12165.12"/>
    <n v="13824"/>
    <n v="1658.8799999999992"/>
    <x v="4"/>
    <x v="28"/>
    <x v="11"/>
  </r>
  <r>
    <s v="T289"/>
    <d v="2024-12-02T00:00:00"/>
    <x v="8"/>
    <x v="2"/>
    <x v="0"/>
    <n v="3"/>
    <n v="16499.57"/>
    <n v="19879"/>
    <n v="49498.71"/>
    <n v="59637"/>
    <n v="10138.290000000001"/>
    <x v="0"/>
    <x v="21"/>
    <x v="11"/>
  </r>
  <r>
    <s v="T282"/>
    <d v="2024-12-05T00:00:00"/>
    <x v="1"/>
    <x v="5"/>
    <x v="0"/>
    <n v="1"/>
    <n v="25505.95"/>
    <n v="30007"/>
    <n v="25505.95"/>
    <n v="30007"/>
    <n v="4501.0499999999993"/>
    <x v="3"/>
    <x v="30"/>
    <x v="11"/>
  </r>
  <r>
    <s v="T108"/>
    <d v="2024-12-06T00:00:00"/>
    <x v="0"/>
    <x v="4"/>
    <x v="0"/>
    <n v="3"/>
    <n v="13288.3"/>
    <n v="16010"/>
    <n v="39864.899999999994"/>
    <n v="48030"/>
    <n v="8165.1000000000058"/>
    <x v="2"/>
    <x v="9"/>
    <x v="11"/>
  </r>
  <r>
    <s v="T103"/>
    <d v="2024-12-07T00:00:00"/>
    <x v="7"/>
    <x v="5"/>
    <x v="1"/>
    <n v="4"/>
    <n v="32947.199999999997"/>
    <n v="37440"/>
    <n v="131788.79999999999"/>
    <n v="149760"/>
    <n v="17971.200000000012"/>
    <x v="3"/>
    <x v="30"/>
    <x v="11"/>
  </r>
  <r>
    <s v="T088"/>
    <d v="2024-12-08T00:00:00"/>
    <x v="2"/>
    <x v="2"/>
    <x v="0"/>
    <n v="10"/>
    <n v="39427.199999999997"/>
    <n v="43808"/>
    <n v="394272"/>
    <n v="438080"/>
    <n v="43808"/>
    <x v="3"/>
    <x v="30"/>
    <x v="11"/>
  </r>
  <r>
    <s v="T173"/>
    <d v="2024-12-09T00:00:00"/>
    <x v="5"/>
    <x v="3"/>
    <x v="1"/>
    <n v="10"/>
    <n v="11501.4"/>
    <n v="13220"/>
    <n v="115014"/>
    <n v="132200"/>
    <n v="17186"/>
    <x v="0"/>
    <x v="1"/>
    <x v="11"/>
  </r>
  <r>
    <s v="T042"/>
    <d v="2024-12-10T00:00:00"/>
    <x v="2"/>
    <x v="1"/>
    <x v="0"/>
    <n v="4"/>
    <n v="17321.27"/>
    <n v="20869"/>
    <n v="79446.42"/>
    <n v="83476"/>
    <n v="18635.580000000002"/>
    <x v="3"/>
    <x v="25"/>
    <x v="11"/>
  </r>
  <r>
    <s v="T180"/>
    <d v="2024-12-10T00:00:00"/>
    <x v="10"/>
    <x v="6"/>
    <x v="0"/>
    <n v="6"/>
    <n v="2116.8000000000002"/>
    <n v="2352"/>
    <n v="12700.800000000001"/>
    <n v="14112"/>
    <n v="1411.1999999999989"/>
    <x v="3"/>
    <x v="25"/>
    <x v="11"/>
  </r>
  <r>
    <s v="T025"/>
    <d v="2024-12-11T00:00:00"/>
    <x v="6"/>
    <x v="4"/>
    <x v="0"/>
    <n v="2"/>
    <n v="35728.699999999997"/>
    <n v="41545"/>
    <n v="267251.40000000002"/>
    <n v="83090"/>
    <n v="29694.599999999977"/>
    <x v="5"/>
    <x v="12"/>
    <x v="11"/>
  </r>
  <r>
    <s v="T098"/>
    <d v="2024-12-13T00:00:00"/>
    <x v="1"/>
    <x v="2"/>
    <x v="0"/>
    <n v="10"/>
    <n v="2725.6800000000003"/>
    <n v="3324"/>
    <n v="27256.800000000003"/>
    <n v="33240"/>
    <n v="5983.1999999999971"/>
    <x v="1"/>
    <x v="16"/>
    <x v="11"/>
  </r>
  <r>
    <s v="T146"/>
    <d v="2024-12-13T00:00:00"/>
    <x v="1"/>
    <x v="3"/>
    <x v="1"/>
    <n v="7"/>
    <n v="30449.7"/>
    <n v="33833"/>
    <n v="213147.9"/>
    <n v="236831"/>
    <n v="23683.100000000006"/>
    <x v="4"/>
    <x v="15"/>
    <x v="11"/>
  </r>
  <r>
    <s v="T261"/>
    <d v="2024-12-17T00:00:00"/>
    <x v="0"/>
    <x v="4"/>
    <x v="0"/>
    <n v="2"/>
    <n v="21427.72"/>
    <n v="23291"/>
    <n v="42855.44"/>
    <n v="46582"/>
    <n v="3726.5599999999977"/>
    <x v="0"/>
    <x v="14"/>
    <x v="11"/>
  </r>
  <r>
    <s v="T006"/>
    <d v="2024-12-18T00:00:00"/>
    <x v="1"/>
    <x v="7"/>
    <x v="1"/>
    <n v="1"/>
    <n v="17635.2"/>
    <n v="20040"/>
    <n v="83946"/>
    <n v="20040"/>
    <n v="14814"/>
    <x v="0"/>
    <x v="14"/>
    <x v="11"/>
  </r>
  <r>
    <s v="T250"/>
    <d v="2024-12-18T00:00:00"/>
    <x v="0"/>
    <x v="5"/>
    <x v="1"/>
    <n v="3"/>
    <n v="29613.360000000001"/>
    <n v="35254"/>
    <n v="88840.08"/>
    <n v="105762"/>
    <n v="16921.919999999998"/>
    <x v="5"/>
    <x v="32"/>
    <x v="11"/>
  </r>
  <r>
    <s v="T127"/>
    <d v="2024-12-20T00:00:00"/>
    <x v="7"/>
    <x v="6"/>
    <x v="1"/>
    <n v="6"/>
    <n v="16350.8"/>
    <n v="19940"/>
    <n v="98104.799999999988"/>
    <n v="119640"/>
    <n v="21535.200000000012"/>
    <x v="5"/>
    <x v="12"/>
    <x v="11"/>
  </r>
  <r>
    <s v="T091"/>
    <d v="2024-12-21T00:00:00"/>
    <x v="3"/>
    <x v="3"/>
    <x v="1"/>
    <n v="7"/>
    <n v="1795.6799999999998"/>
    <n v="2088"/>
    <n v="12569.759999999998"/>
    <n v="14616"/>
    <n v="2046.2400000000016"/>
    <x v="0"/>
    <x v="0"/>
    <x v="11"/>
  </r>
  <r>
    <s v="T148"/>
    <d v="2024-12-21T00:00:00"/>
    <x v="8"/>
    <x v="7"/>
    <x v="0"/>
    <n v="4"/>
    <n v="10499.04"/>
    <n v="11412"/>
    <n v="41996.160000000003"/>
    <n v="45648"/>
    <n v="3651.8399999999965"/>
    <x v="4"/>
    <x v="22"/>
    <x v="11"/>
  </r>
  <r>
    <s v="T284"/>
    <d v="2024-12-23T00:00:00"/>
    <x v="0"/>
    <x v="1"/>
    <x v="1"/>
    <n v="8"/>
    <n v="32677.93"/>
    <n v="39371"/>
    <n v="261423.44"/>
    <n v="314968"/>
    <n v="53544.56"/>
    <x v="2"/>
    <x v="3"/>
    <x v="11"/>
  </r>
  <r>
    <s v="T002"/>
    <d v="2024-12-24T00:00:00"/>
    <x v="1"/>
    <x v="7"/>
    <x v="0"/>
    <n v="1"/>
    <n v="36101.519999999997"/>
    <n v="39672"/>
    <n v="197922.27000000002"/>
    <n v="39672"/>
    <n v="19574.729999999981"/>
    <x v="5"/>
    <x v="32"/>
    <x v="11"/>
  </r>
  <r>
    <s v="T104"/>
    <d v="2024-12-24T00:00:00"/>
    <x v="10"/>
    <x v="2"/>
    <x v="0"/>
    <n v="5"/>
    <n v="31348.71"/>
    <n v="36033"/>
    <n v="156743.54999999999"/>
    <n v="180165"/>
    <n v="23421.450000000012"/>
    <x v="1"/>
    <x v="18"/>
    <x v="11"/>
  </r>
  <r>
    <s v="T196"/>
    <d v="2024-12-24T00:00:00"/>
    <x v="9"/>
    <x v="2"/>
    <x v="1"/>
    <n v="6"/>
    <n v="3499.86"/>
    <n v="3846"/>
    <n v="20999.16"/>
    <n v="23076"/>
    <n v="2076.84"/>
    <x v="1"/>
    <x v="16"/>
    <x v="11"/>
  </r>
  <r>
    <s v="T163"/>
    <d v="2024-12-26T00:00:00"/>
    <x v="9"/>
    <x v="4"/>
    <x v="0"/>
    <n v="10"/>
    <n v="31632.12"/>
    <n v="39052"/>
    <n v="316321.2"/>
    <n v="390520"/>
    <n v="74198.799999999988"/>
    <x v="3"/>
    <x v="33"/>
    <x v="11"/>
  </r>
  <r>
    <s v="T287"/>
    <d v="2024-12-30T00:00:00"/>
    <x v="9"/>
    <x v="5"/>
    <x v="0"/>
    <n v="3"/>
    <n v="16330.3"/>
    <n v="19915"/>
    <n v="48990.899999999994"/>
    <n v="59745"/>
    <n v="10754.100000000006"/>
    <x v="3"/>
    <x v="6"/>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5A8E06-843D-42A0-8C8A-1B4D8C39E64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5" firstHeaderRow="0" firstDataRow="1" firstDataCol="1"/>
  <pivotFields count="14">
    <pivotField showAll="0"/>
    <pivotField numFmtId="14" showAll="0"/>
    <pivotField axis="axisRow" showAll="0">
      <items count="12">
        <item x="8"/>
        <item x="1"/>
        <item x="6"/>
        <item x="10"/>
        <item x="3"/>
        <item x="9"/>
        <item x="0"/>
        <item x="4"/>
        <item x="5"/>
        <item x="7"/>
        <item x="2"/>
        <item t="default"/>
      </items>
    </pivotField>
    <pivotField showAll="0"/>
    <pivotField showAll="0">
      <items count="3">
        <item x="0"/>
        <item x="1"/>
        <item t="default"/>
      </items>
    </pivotField>
    <pivotField showAll="0"/>
    <pivotField numFmtId="165" showAll="0"/>
    <pivotField numFmtId="165" showAll="0"/>
    <pivotField numFmtId="165" showAll="0"/>
    <pivotField dataField="1" numFmtId="165" showAll="0"/>
    <pivotField dataField="1" numFmtId="165" showAll="0"/>
    <pivotField showAll="0">
      <items count="7">
        <item h="1" x="5"/>
        <item h="1" x="3"/>
        <item h="1" x="2"/>
        <item h="1" x="4"/>
        <item x="1"/>
        <item h="1" x="0"/>
        <item t="default"/>
      </items>
    </pivotField>
    <pivotField showAll="0">
      <items count="37">
        <item x="1"/>
        <item x="34"/>
        <item x="15"/>
        <item x="29"/>
        <item x="4"/>
        <item x="35"/>
        <item x="16"/>
        <item x="18"/>
        <item x="31"/>
        <item x="3"/>
        <item x="11"/>
        <item x="20"/>
        <item x="7"/>
        <item x="30"/>
        <item x="21"/>
        <item x="13"/>
        <item x="0"/>
        <item x="8"/>
        <item x="9"/>
        <item x="28"/>
        <item x="24"/>
        <item x="10"/>
        <item x="26"/>
        <item x="12"/>
        <item x="17"/>
        <item x="23"/>
        <item x="25"/>
        <item x="32"/>
        <item x="27"/>
        <item x="19"/>
        <item x="33"/>
        <item x="22"/>
        <item x="5"/>
        <item x="2"/>
        <item x="6"/>
        <item x="14"/>
        <item t="default"/>
      </items>
    </pivotField>
    <pivotField showAll="0">
      <items count="13">
        <item x="0"/>
        <item x="1"/>
        <item x="2"/>
        <item x="3"/>
        <item x="4"/>
        <item x="5"/>
        <item x="6"/>
        <item x="7"/>
        <item x="8"/>
        <item x="9"/>
        <item x="10"/>
        <item x="11"/>
        <item t="default"/>
      </items>
    </pivotField>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Sum of Profit" fld="10" baseField="0" baseItem="0" numFmtId="165"/>
    <dataField name="Sum of Total Sales" fld="9" baseField="0" baseItem="0" numFmtId="165"/>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949198-8F70-441F-A8E1-9A552C3157D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9:F11" firstHeaderRow="1" firstDataRow="1" firstDataCol="1"/>
  <pivotFields count="14">
    <pivotField showAll="0"/>
    <pivotField numFmtId="14" showAll="0"/>
    <pivotField showAll="0">
      <items count="12">
        <item x="8"/>
        <item x="1"/>
        <item x="6"/>
        <item x="10"/>
        <item x="3"/>
        <item x="9"/>
        <item x="0"/>
        <item x="4"/>
        <item x="5"/>
        <item x="7"/>
        <item x="2"/>
        <item t="default"/>
      </items>
    </pivotField>
    <pivotField axis="axisRow" showAll="0" measureFilter="1">
      <items count="9">
        <item x="0"/>
        <item x="1"/>
        <item x="6"/>
        <item x="3"/>
        <item x="4"/>
        <item x="5"/>
        <item x="2"/>
        <item x="7"/>
        <item t="default"/>
      </items>
    </pivotField>
    <pivotField showAll="0">
      <items count="3">
        <item x="0"/>
        <item x="1"/>
        <item t="default"/>
      </items>
    </pivotField>
    <pivotField showAll="0"/>
    <pivotField numFmtId="165" showAll="0"/>
    <pivotField numFmtId="165" showAll="0"/>
    <pivotField numFmtId="165" showAll="0"/>
    <pivotField numFmtId="165" showAll="0"/>
    <pivotField dataField="1" numFmtId="165" showAll="0"/>
    <pivotField showAll="0">
      <items count="7">
        <item x="5"/>
        <item x="3"/>
        <item x="2"/>
        <item x="4"/>
        <item x="1"/>
        <item x="0"/>
        <item t="default"/>
      </items>
    </pivotField>
    <pivotField showAll="0">
      <items count="37">
        <item x="1"/>
        <item x="34"/>
        <item x="15"/>
        <item x="29"/>
        <item x="4"/>
        <item x="35"/>
        <item x="16"/>
        <item x="18"/>
        <item x="31"/>
        <item x="3"/>
        <item x="11"/>
        <item x="20"/>
        <item x="7"/>
        <item x="30"/>
        <item x="21"/>
        <item x="13"/>
        <item x="0"/>
        <item x="8"/>
        <item x="9"/>
        <item x="28"/>
        <item x="24"/>
        <item x="10"/>
        <item x="26"/>
        <item x="12"/>
        <item x="17"/>
        <item x="23"/>
        <item x="25"/>
        <item x="32"/>
        <item x="27"/>
        <item x="19"/>
        <item x="33"/>
        <item x="22"/>
        <item x="5"/>
        <item x="2"/>
        <item x="6"/>
        <item x="14"/>
        <item t="default"/>
      </items>
    </pivotField>
    <pivotField showAll="0">
      <items count="13">
        <item x="0"/>
        <item x="1"/>
        <item x="2"/>
        <item x="3"/>
        <item x="4"/>
        <item x="5"/>
        <item x="6"/>
        <item x="7"/>
        <item x="8"/>
        <item x="9"/>
        <item x="10"/>
        <item x="11"/>
        <item t="default"/>
      </items>
    </pivotField>
  </pivotFields>
  <rowFields count="1">
    <field x="3"/>
  </rowFields>
  <rowItems count="2">
    <i>
      <x v="1"/>
    </i>
    <i t="grand">
      <x/>
    </i>
  </rowItems>
  <colItems count="1">
    <i/>
  </colItems>
  <dataFields count="1">
    <dataField name="Sum of Profit" fld="10" baseField="0" baseItem="0" numFmtId="165"/>
  </dataField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63A915-9F53-406C-BEF9-F9DCB84E45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H25:I28" firstHeaderRow="1" firstDataRow="1" firstDataCol="1"/>
  <pivotFields count="14">
    <pivotField showAll="0"/>
    <pivotField numFmtId="14" showAll="0"/>
    <pivotField showAll="0">
      <items count="12">
        <item x="8"/>
        <item x="1"/>
        <item x="6"/>
        <item x="10"/>
        <item x="3"/>
        <item x="9"/>
        <item x="0"/>
        <item x="4"/>
        <item x="5"/>
        <item x="7"/>
        <item x="2"/>
        <item t="default"/>
      </items>
    </pivotField>
    <pivotField showAll="0">
      <items count="9">
        <item x="0"/>
        <item x="1"/>
        <item x="6"/>
        <item x="3"/>
        <item x="4"/>
        <item x="5"/>
        <item x="2"/>
        <item x="7"/>
        <item t="default"/>
      </items>
    </pivotField>
    <pivotField axis="axisRow" showAll="0">
      <items count="3">
        <item x="0"/>
        <item x="1"/>
        <item t="default"/>
      </items>
    </pivotField>
    <pivotField showAll="0"/>
    <pivotField numFmtId="165" showAll="0"/>
    <pivotField numFmtId="165" showAll="0"/>
    <pivotField numFmtId="165" showAll="0"/>
    <pivotField dataField="1" numFmtId="165" showAll="0"/>
    <pivotField numFmtId="165" showAll="0"/>
    <pivotField showAll="0">
      <items count="7">
        <item x="5"/>
        <item x="3"/>
        <item x="2"/>
        <item x="4"/>
        <item x="1"/>
        <item x="0"/>
        <item t="default"/>
      </items>
    </pivotField>
    <pivotField showAll="0">
      <items count="37">
        <item x="1"/>
        <item x="34"/>
        <item x="15"/>
        <item x="29"/>
        <item x="4"/>
        <item x="35"/>
        <item x="16"/>
        <item x="18"/>
        <item x="31"/>
        <item x="3"/>
        <item x="11"/>
        <item x="20"/>
        <item x="7"/>
        <item x="30"/>
        <item x="21"/>
        <item x="13"/>
        <item x="0"/>
        <item x="8"/>
        <item x="9"/>
        <item x="28"/>
        <item x="24"/>
        <item x="10"/>
        <item x="26"/>
        <item x="12"/>
        <item x="17"/>
        <item x="23"/>
        <item x="25"/>
        <item x="32"/>
        <item x="27"/>
        <item x="19"/>
        <item x="33"/>
        <item x="22"/>
        <item x="5"/>
        <item x="2"/>
        <item x="6"/>
        <item x="14"/>
        <item t="default"/>
      </items>
    </pivotField>
    <pivotField showAll="0">
      <items count="13">
        <item x="0"/>
        <item x="1"/>
        <item x="2"/>
        <item x="3"/>
        <item x="4"/>
        <item x="5"/>
        <item x="6"/>
        <item x="7"/>
        <item x="8"/>
        <item x="9"/>
        <item x="10"/>
        <item x="11"/>
        <item t="default"/>
      </items>
    </pivotField>
  </pivotFields>
  <rowFields count="1">
    <field x="4"/>
  </rowFields>
  <rowItems count="3">
    <i>
      <x/>
    </i>
    <i>
      <x v="1"/>
    </i>
    <i t="grand">
      <x/>
    </i>
  </rowItems>
  <colItems count="1">
    <i/>
  </colItems>
  <dataFields count="1">
    <dataField name="Sum of Total Sales" fld="9" baseField="0" baseItem="0" numFmtId="165"/>
  </dataFields>
  <chartFormats count="7">
    <chartFormat chart="18"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4" count="1" selected="0">
            <x v="0"/>
          </reference>
        </references>
      </pivotArea>
    </chartFormat>
    <chartFormat chart="22" format="6">
      <pivotArea type="data" outline="0" fieldPosition="0">
        <references count="2">
          <reference field="4294967294" count="1" selected="0">
            <x v="0"/>
          </reference>
          <reference field="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4" count="1" selected="0">
            <x v="0"/>
          </reference>
        </references>
      </pivotArea>
    </chartFormat>
    <chartFormat chart="27"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A31B8B-421B-4965-AC6B-B4A21803E6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25:F28" firstHeaderRow="1" firstDataRow="1" firstDataCol="1"/>
  <pivotFields count="14">
    <pivotField showAll="0"/>
    <pivotField numFmtId="14" showAll="0"/>
    <pivotField showAll="0">
      <items count="12">
        <item x="8"/>
        <item x="1"/>
        <item x="6"/>
        <item x="10"/>
        <item x="3"/>
        <item x="9"/>
        <item x="0"/>
        <item x="4"/>
        <item x="5"/>
        <item x="7"/>
        <item x="2"/>
        <item t="default"/>
      </items>
    </pivotField>
    <pivotField showAll="0">
      <items count="9">
        <item x="0"/>
        <item x="1"/>
        <item x="6"/>
        <item x="3"/>
        <item x="4"/>
        <item x="5"/>
        <item x="2"/>
        <item x="7"/>
        <item t="default"/>
      </items>
    </pivotField>
    <pivotField axis="axisRow" showAll="0">
      <items count="3">
        <item x="0"/>
        <item x="1"/>
        <item t="default"/>
      </items>
    </pivotField>
    <pivotField showAll="0"/>
    <pivotField numFmtId="165" showAll="0"/>
    <pivotField numFmtId="165" showAll="0"/>
    <pivotField numFmtId="165" showAll="0"/>
    <pivotField dataField="1" numFmtId="165" showAll="0"/>
    <pivotField numFmtId="165" showAll="0"/>
    <pivotField showAll="0">
      <items count="7">
        <item x="5"/>
        <item x="3"/>
        <item x="2"/>
        <item x="4"/>
        <item x="1"/>
        <item x="0"/>
        <item t="default"/>
      </items>
    </pivotField>
    <pivotField showAll="0">
      <items count="37">
        <item x="1"/>
        <item x="34"/>
        <item x="15"/>
        <item x="29"/>
        <item x="4"/>
        <item x="35"/>
        <item x="16"/>
        <item x="18"/>
        <item x="31"/>
        <item x="3"/>
        <item x="11"/>
        <item x="20"/>
        <item x="7"/>
        <item x="30"/>
        <item x="21"/>
        <item x="13"/>
        <item x="0"/>
        <item x="8"/>
        <item x="9"/>
        <item x="28"/>
        <item x="24"/>
        <item x="10"/>
        <item x="26"/>
        <item x="12"/>
        <item x="17"/>
        <item x="23"/>
        <item x="25"/>
        <item x="32"/>
        <item x="27"/>
        <item x="19"/>
        <item x="33"/>
        <item x="22"/>
        <item x="5"/>
        <item x="2"/>
        <item x="6"/>
        <item x="14"/>
        <item t="default"/>
      </items>
    </pivotField>
    <pivotField showAll="0">
      <items count="13">
        <item x="0"/>
        <item x="1"/>
        <item x="2"/>
        <item x="3"/>
        <item x="4"/>
        <item x="5"/>
        <item x="6"/>
        <item x="7"/>
        <item x="8"/>
        <item x="9"/>
        <item x="10"/>
        <item x="11"/>
        <item t="default"/>
      </items>
    </pivotField>
  </pivotFields>
  <rowFields count="1">
    <field x="4"/>
  </rowFields>
  <rowItems count="3">
    <i>
      <x/>
    </i>
    <i>
      <x v="1"/>
    </i>
    <i t="grand">
      <x/>
    </i>
  </rowItems>
  <colItems count="1">
    <i/>
  </colItems>
  <dataFields count="1">
    <dataField name="Sum of Total Sales" fld="9" baseField="0" baseItem="0" numFmtId="165"/>
  </dataFields>
  <chartFormats count="3">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4" count="1" selected="0">
            <x v="0"/>
          </reference>
        </references>
      </pivotArea>
    </chartFormat>
    <chartFormat chart="22"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023E23-E901-4232-A689-EF201C80A91A}"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K9:L16" firstHeaderRow="1" firstDataRow="1" firstDataCol="1"/>
  <pivotFields count="14">
    <pivotField showAll="0"/>
    <pivotField numFmtId="14" showAll="0"/>
    <pivotField showAll="0">
      <items count="12">
        <item x="8"/>
        <item x="1"/>
        <item x="6"/>
        <item x="10"/>
        <item x="3"/>
        <item x="9"/>
        <item x="0"/>
        <item x="4"/>
        <item x="5"/>
        <item x="7"/>
        <item x="2"/>
        <item t="default"/>
      </items>
    </pivotField>
    <pivotField showAll="0">
      <items count="9">
        <item x="0"/>
        <item x="1"/>
        <item x="6"/>
        <item x="3"/>
        <item x="4"/>
        <item x="5"/>
        <item x="2"/>
        <item x="7"/>
        <item t="default"/>
      </items>
    </pivotField>
    <pivotField showAll="0">
      <items count="3">
        <item x="0"/>
        <item x="1"/>
        <item t="default"/>
      </items>
    </pivotField>
    <pivotField showAll="0"/>
    <pivotField numFmtId="165" showAll="0"/>
    <pivotField numFmtId="165" showAll="0"/>
    <pivotField numFmtId="165" showAll="0"/>
    <pivotField dataField="1" numFmtId="165" showAll="0"/>
    <pivotField numFmtId="165" showAll="0"/>
    <pivotField axis="axisRow" showAll="0">
      <items count="7">
        <item x="5"/>
        <item x="3"/>
        <item x="2"/>
        <item x="4"/>
        <item x="1"/>
        <item x="0"/>
        <item t="default"/>
      </items>
    </pivotField>
    <pivotField showAll="0">
      <items count="37">
        <item x="1"/>
        <item x="34"/>
        <item x="15"/>
        <item x="29"/>
        <item x="4"/>
        <item x="35"/>
        <item x="16"/>
        <item x="18"/>
        <item x="31"/>
        <item x="3"/>
        <item x="11"/>
        <item x="20"/>
        <item x="7"/>
        <item x="30"/>
        <item x="21"/>
        <item x="13"/>
        <item x="0"/>
        <item x="8"/>
        <item x="9"/>
        <item x="28"/>
        <item x="24"/>
        <item x="10"/>
        <item x="26"/>
        <item x="12"/>
        <item x="17"/>
        <item x="23"/>
        <item x="25"/>
        <item x="32"/>
        <item x="27"/>
        <item x="19"/>
        <item x="33"/>
        <item x="22"/>
        <item x="5"/>
        <item x="2"/>
        <item x="6"/>
        <item x="14"/>
        <item t="default"/>
      </items>
    </pivotField>
    <pivotField showAll="0">
      <items count="13">
        <item x="0"/>
        <item x="1"/>
        <item x="2"/>
        <item x="3"/>
        <item x="4"/>
        <item x="5"/>
        <item x="6"/>
        <item x="7"/>
        <item x="8"/>
        <item x="9"/>
        <item x="10"/>
        <item x="11"/>
        <item t="default"/>
      </items>
    </pivotField>
  </pivotFields>
  <rowFields count="1">
    <field x="11"/>
  </rowFields>
  <rowItems count="7">
    <i>
      <x/>
    </i>
    <i>
      <x v="1"/>
    </i>
    <i>
      <x v="2"/>
    </i>
    <i>
      <x v="3"/>
    </i>
    <i>
      <x v="4"/>
    </i>
    <i>
      <x v="5"/>
    </i>
    <i t="grand">
      <x/>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50603C-7B3E-4851-8D8A-7EFBEE1B4D8A}"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H9:I16" firstHeaderRow="1" firstDataRow="1" firstDataCol="1"/>
  <pivotFields count="14">
    <pivotField showAll="0"/>
    <pivotField numFmtId="14" showAll="0"/>
    <pivotField showAll="0" measureFilter="1">
      <items count="12">
        <item x="8"/>
        <item x="1"/>
        <item x="6"/>
        <item x="10"/>
        <item x="3"/>
        <item x="9"/>
        <item x="0"/>
        <item x="4"/>
        <item x="5"/>
        <item x="7"/>
        <item x="2"/>
        <item t="default"/>
      </items>
    </pivotField>
    <pivotField showAll="0" measureFilter="1">
      <items count="9">
        <item x="0"/>
        <item x="1"/>
        <item x="6"/>
        <item x="3"/>
        <item x="4"/>
        <item x="5"/>
        <item x="2"/>
        <item x="7"/>
        <item t="default"/>
      </items>
    </pivotField>
    <pivotField showAll="0">
      <items count="3">
        <item x="0"/>
        <item x="1"/>
        <item t="default"/>
      </items>
    </pivotField>
    <pivotField showAll="0"/>
    <pivotField numFmtId="165" showAll="0"/>
    <pivotField numFmtId="165" showAll="0"/>
    <pivotField numFmtId="165" showAll="0"/>
    <pivotField numFmtId="165" showAll="0"/>
    <pivotField dataField="1" numFmtId="165" showAll="0"/>
    <pivotField axis="axisRow" showAll="0">
      <items count="7">
        <item x="5"/>
        <item x="3"/>
        <item x="2"/>
        <item x="4"/>
        <item x="1"/>
        <item x="0"/>
        <item t="default"/>
      </items>
    </pivotField>
    <pivotField showAll="0">
      <items count="37">
        <item x="1"/>
        <item x="34"/>
        <item x="15"/>
        <item x="29"/>
        <item x="4"/>
        <item x="35"/>
        <item x="16"/>
        <item x="18"/>
        <item x="31"/>
        <item x="3"/>
        <item x="11"/>
        <item x="20"/>
        <item x="7"/>
        <item x="30"/>
        <item x="21"/>
        <item x="13"/>
        <item x="0"/>
        <item x="8"/>
        <item x="9"/>
        <item x="28"/>
        <item x="24"/>
        <item x="10"/>
        <item x="26"/>
        <item x="12"/>
        <item x="17"/>
        <item x="23"/>
        <item x="25"/>
        <item x="32"/>
        <item x="27"/>
        <item x="19"/>
        <item x="33"/>
        <item x="22"/>
        <item x="5"/>
        <item x="2"/>
        <item x="6"/>
        <item x="14"/>
        <item t="default"/>
      </items>
    </pivotField>
    <pivotField showAll="0">
      <items count="13">
        <item x="0"/>
        <item x="1"/>
        <item x="2"/>
        <item x="3"/>
        <item x="4"/>
        <item x="5"/>
        <item x="6"/>
        <item x="7"/>
        <item x="8"/>
        <item x="9"/>
        <item x="10"/>
        <item x="11"/>
        <item t="default"/>
      </items>
    </pivotField>
  </pivotFields>
  <rowFields count="1">
    <field x="11"/>
  </rowFields>
  <rowItems count="7">
    <i>
      <x/>
    </i>
    <i>
      <x v="1"/>
    </i>
    <i>
      <x v="2"/>
    </i>
    <i>
      <x v="3"/>
    </i>
    <i>
      <x v="4"/>
    </i>
    <i>
      <x v="5"/>
    </i>
    <i t="grand">
      <x/>
    </i>
  </rowItems>
  <colItems count="1">
    <i/>
  </colItems>
  <dataFields count="1">
    <dataField name="Sum of Profit" fld="10" baseField="0" baseItem="0" numFmtId="165"/>
  </dataFields>
  <pivotTableStyleInfo name="PivotStyleLight16" showRowHeaders="1" showColHeaders="1" showRowStripes="0" showColStripes="0" showLastColumn="1"/>
  <filters count="2">
    <filter fld="3" type="count" evalOrder="-1" id="1" iMeasureFld="0">
      <autoFilter ref="A1">
        <filterColumn colId="0">
          <top10 val="1" filterVal="1"/>
        </filterColumn>
      </autoFilter>
    </filter>
    <filter fld="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8826C3-3CF3-4235-BDB6-24F83A288A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19:C28" firstHeaderRow="1" firstDataRow="1" firstDataCol="1"/>
  <pivotFields count="14">
    <pivotField showAll="0"/>
    <pivotField numFmtId="14" showAll="0"/>
    <pivotField showAll="0">
      <items count="12">
        <item x="8"/>
        <item x="1"/>
        <item x="6"/>
        <item x="10"/>
        <item x="3"/>
        <item x="9"/>
        <item x="0"/>
        <item x="4"/>
        <item x="5"/>
        <item x="7"/>
        <item x="2"/>
        <item t="default"/>
      </items>
    </pivotField>
    <pivotField axis="axisRow" showAll="0">
      <items count="9">
        <item x="0"/>
        <item x="1"/>
        <item x="6"/>
        <item x="3"/>
        <item x="4"/>
        <item x="5"/>
        <item x="2"/>
        <item x="7"/>
        <item t="default"/>
      </items>
    </pivotField>
    <pivotField showAll="0">
      <items count="3">
        <item x="0"/>
        <item x="1"/>
        <item t="default"/>
      </items>
    </pivotField>
    <pivotField showAll="0"/>
    <pivotField numFmtId="165" showAll="0"/>
    <pivotField numFmtId="165" showAll="0"/>
    <pivotField numFmtId="165" showAll="0"/>
    <pivotField numFmtId="165" showAll="0"/>
    <pivotField dataField="1" numFmtId="165" showAll="0"/>
    <pivotField showAll="0">
      <items count="7">
        <item x="5"/>
        <item x="3"/>
        <item x="2"/>
        <item x="4"/>
        <item x="1"/>
        <item x="0"/>
        <item t="default"/>
      </items>
    </pivotField>
    <pivotField showAll="0">
      <items count="37">
        <item x="1"/>
        <item x="34"/>
        <item x="15"/>
        <item x="29"/>
        <item x="4"/>
        <item x="35"/>
        <item x="16"/>
        <item x="18"/>
        <item x="31"/>
        <item x="3"/>
        <item x="11"/>
        <item x="20"/>
        <item x="7"/>
        <item x="30"/>
        <item x="21"/>
        <item x="13"/>
        <item x="0"/>
        <item x="8"/>
        <item x="9"/>
        <item x="28"/>
        <item x="24"/>
        <item x="10"/>
        <item x="26"/>
        <item x="12"/>
        <item x="17"/>
        <item x="23"/>
        <item x="25"/>
        <item x="32"/>
        <item x="27"/>
        <item x="19"/>
        <item x="33"/>
        <item x="22"/>
        <item x="5"/>
        <item x="2"/>
        <item x="6"/>
        <item x="14"/>
        <item t="default"/>
      </items>
    </pivotField>
    <pivotField showAll="0">
      <items count="13">
        <item x="0"/>
        <item x="1"/>
        <item x="2"/>
        <item x="3"/>
        <item x="4"/>
        <item x="5"/>
        <item x="6"/>
        <item x="7"/>
        <item x="8"/>
        <item x="9"/>
        <item x="10"/>
        <item x="11"/>
        <item t="default"/>
      </items>
    </pivotField>
  </pivotFields>
  <rowFields count="1">
    <field x="3"/>
  </rowFields>
  <rowItems count="9">
    <i>
      <x/>
    </i>
    <i>
      <x v="1"/>
    </i>
    <i>
      <x v="2"/>
    </i>
    <i>
      <x v="3"/>
    </i>
    <i>
      <x v="4"/>
    </i>
    <i>
      <x v="5"/>
    </i>
    <i>
      <x v="6"/>
    </i>
    <i>
      <x v="7"/>
    </i>
    <i t="grand">
      <x/>
    </i>
  </rowItems>
  <colItems count="1">
    <i/>
  </colItems>
  <dataFields count="1">
    <dataField name="Sum of Profit" fld="10" baseField="0" baseItem="0" numFmtId="165"/>
  </dataFields>
  <chartFormats count="6">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78DCDE-9AA2-4B3C-B354-B5115B4541FB}"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E13:F15" firstHeaderRow="1" firstDataRow="1" firstDataCol="1"/>
  <pivotFields count="14">
    <pivotField showAll="0"/>
    <pivotField numFmtId="14" showAll="0"/>
    <pivotField axis="axisRow" showAll="0" measureFilter="1">
      <items count="12">
        <item x="8"/>
        <item x="1"/>
        <item x="6"/>
        <item x="10"/>
        <item x="3"/>
        <item x="9"/>
        <item x="0"/>
        <item x="4"/>
        <item x="5"/>
        <item x="7"/>
        <item x="2"/>
        <item t="default"/>
      </items>
    </pivotField>
    <pivotField showAll="0" measureFilter="1">
      <items count="9">
        <item x="0"/>
        <item x="1"/>
        <item x="6"/>
        <item x="3"/>
        <item x="4"/>
        <item x="5"/>
        <item x="2"/>
        <item x="7"/>
        <item t="default"/>
      </items>
    </pivotField>
    <pivotField showAll="0">
      <items count="3">
        <item x="0"/>
        <item x="1"/>
        <item t="default"/>
      </items>
    </pivotField>
    <pivotField showAll="0"/>
    <pivotField numFmtId="165" showAll="0"/>
    <pivotField numFmtId="165" showAll="0"/>
    <pivotField numFmtId="165" showAll="0"/>
    <pivotField numFmtId="165" showAll="0"/>
    <pivotField dataField="1" numFmtId="165" showAll="0"/>
    <pivotField showAll="0">
      <items count="7">
        <item x="5"/>
        <item x="3"/>
        <item x="2"/>
        <item x="4"/>
        <item x="1"/>
        <item x="0"/>
        <item t="default"/>
      </items>
    </pivotField>
    <pivotField showAll="0">
      <items count="37">
        <item x="1"/>
        <item x="34"/>
        <item x="15"/>
        <item x="29"/>
        <item x="4"/>
        <item x="35"/>
        <item x="16"/>
        <item x="18"/>
        <item x="31"/>
        <item x="3"/>
        <item x="11"/>
        <item x="20"/>
        <item x="7"/>
        <item x="30"/>
        <item x="21"/>
        <item x="13"/>
        <item x="0"/>
        <item x="8"/>
        <item x="9"/>
        <item x="28"/>
        <item x="24"/>
        <item x="10"/>
        <item x="26"/>
        <item x="12"/>
        <item x="17"/>
        <item x="23"/>
        <item x="25"/>
        <item x="32"/>
        <item x="27"/>
        <item x="19"/>
        <item x="33"/>
        <item x="22"/>
        <item x="5"/>
        <item x="2"/>
        <item x="6"/>
        <item x="14"/>
        <item t="default"/>
      </items>
    </pivotField>
    <pivotField showAll="0">
      <items count="13">
        <item x="0"/>
        <item x="1"/>
        <item x="2"/>
        <item x="3"/>
        <item x="4"/>
        <item x="5"/>
        <item x="6"/>
        <item x="7"/>
        <item x="8"/>
        <item x="9"/>
        <item x="10"/>
        <item x="11"/>
        <item t="default"/>
      </items>
    </pivotField>
  </pivotFields>
  <rowFields count="1">
    <field x="2"/>
  </rowFields>
  <rowItems count="2">
    <i>
      <x v="8"/>
    </i>
    <i t="grand">
      <x/>
    </i>
  </rowItems>
  <colItems count="1">
    <i/>
  </colItems>
  <dataFields count="1">
    <dataField name="Sum of Profit" fld="10" baseField="0" baseItem="0" numFmtId="165"/>
  </dataFields>
  <pivotTableStyleInfo name="PivotStyleLight16" showRowHeaders="1" showColHeaders="1" showRowStripes="0" showColStripes="0" showLastColumn="1"/>
  <filters count="2">
    <filter fld="3" type="count" evalOrder="-1" id="1" iMeasureFld="0">
      <autoFilter ref="A1">
        <filterColumn colId="0">
          <top10 val="1" filterVal="1"/>
        </filterColumn>
      </autoFilter>
    </filter>
    <filter fld="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8CE1468-4B3E-4446-B6C7-2EA2E126C1FF}" sourceName="Month">
  <pivotTables>
    <pivotTable tabId="10" name="PivotTable9"/>
    <pivotTable tabId="10" name="PivotTable1"/>
    <pivotTable tabId="10" name="PivotTable2"/>
    <pivotTable tabId="10" name="PivotTable3"/>
    <pivotTable tabId="10" name="PivotTable4"/>
    <pivotTable tabId="10" name="PivotTable5"/>
    <pivotTable tabId="10" name="PivotTable6"/>
    <pivotTable tabId="10" name="PivotTable7"/>
  </pivotTables>
  <data>
    <tabular pivotCacheId="88085335">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12EDD9F-5A3C-4A7A-9D7C-B09B45A104CF}" sourceName="Payment Method">
  <pivotTables>
    <pivotTable tabId="10" name="PivotTable9"/>
    <pivotTable tabId="10" name="PivotTable1"/>
    <pivotTable tabId="10" name="PivotTable2"/>
    <pivotTable tabId="10" name="PivotTable3"/>
    <pivotTable tabId="10" name="PivotTable4"/>
    <pivotTable tabId="10" name="PivotTable5"/>
    <pivotTable tabId="10" name="PivotTable6"/>
    <pivotTable tabId="10" name="PivotTable7"/>
  </pivotTables>
  <data>
    <tabular pivotCacheId="8808533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s" xr10:uid="{F50140CB-0AED-47CE-AD24-3CDE3AAABAD1}" sourceName="States">
  <pivotTables>
    <pivotTable tabId="10" name="PivotTable1"/>
    <pivotTable tabId="10" name="PivotTable2"/>
    <pivotTable tabId="10" name="PivotTable3"/>
    <pivotTable tabId="10" name="PivotTable4"/>
    <pivotTable tabId="10" name="PivotTable5"/>
    <pivotTable tabId="10" name="PivotTable6"/>
    <pivotTable tabId="10" name="PivotTable7"/>
  </pivotTables>
  <data>
    <tabular pivotCacheId="88085335">
      <items count="6">
        <i x="5" s="1"/>
        <i x="3" s="1"/>
        <i x="2"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FD85225-38DB-40A3-9C84-4EB3DA29C1EA}" cache="Slicer_Month" caption="Month" rowHeight="365760"/>
  <slicer name="Payment Method" xr10:uid="{A504CFC6-7C23-4CB2-B5C8-0395AA995360}" cache="Slicer_Payment_Method" caption="Payment Method" rowHeight="234950"/>
  <slicer name="States" xr10:uid="{4E452D6C-06C5-430D-A786-1CE3969B64B1}" cache="Slicer_States" caption="States" columnCoun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B0E5F3-7A94-4235-9878-6CE82AF8E347}" name="Table1" displayName="Table1" ref="A1:N301" totalsRowShown="0" headerRowDxfId="14" tableBorderDxfId="13">
  <autoFilter ref="A1:N301" xr:uid="{FCB0E5F3-7A94-4235-9878-6CE82AF8E347}"/>
  <sortState xmlns:xlrd2="http://schemas.microsoft.com/office/spreadsheetml/2017/richdata2" ref="A2:N301">
    <sortCondition ref="B1:B301"/>
  </sortState>
  <tableColumns count="14">
    <tableColumn id="1" xr3:uid="{FB2FD81E-BBB8-4599-947C-6D32B15258E8}" name="Transaction ID"/>
    <tableColumn id="2" xr3:uid="{D7AC9326-559C-4646-9FAD-178DE3CF3630}" name="Date" dataDxfId="12"/>
    <tableColumn id="3" xr3:uid="{5F98717C-1B22-45DF-BFA8-66F901575CC2}" name="Customer name"/>
    <tableColumn id="4" xr3:uid="{F3EB962D-B1A4-40BF-AF2F-BFB5F4CB0129}" name="Product"/>
    <tableColumn id="10" xr3:uid="{3F67AF38-776B-49B2-A759-B84D23756ABB}" name="Payment Method" dataDxfId="11"/>
    <tableColumn id="5" xr3:uid="{CF61A7B2-0666-43A3-B964-37CE9C7D7CEA}" name="Unit Sold"/>
    <tableColumn id="6" xr3:uid="{69AC9F7A-5398-410B-84D7-6E4E83EE57E8}" name="Buying Price" dataDxfId="10"/>
    <tableColumn id="7" xr3:uid="{7A69A202-D8EA-41A6-95D3-0015094D703C}" name="Selling Price" dataDxfId="9"/>
    <tableColumn id="14" xr3:uid="{9741974B-D6ED-460F-9C8D-702EA0D3DA7D}" name="Total Buying" dataDxfId="8" dataCellStyle="Currency"/>
    <tableColumn id="8" xr3:uid="{985209AE-C175-4412-A5E0-92E6C0F7A6EF}" name="Total Sales" dataDxfId="7" dataCellStyle="Currency"/>
    <tableColumn id="11" xr3:uid="{D7D84B77-8B5F-41B1-AB70-CCD67DBF458A}" name="Profit" dataDxfId="6">
      <calculatedColumnFormula>J2-I2</calculatedColumnFormula>
    </tableColumn>
    <tableColumn id="15" xr3:uid="{0240461C-84D0-4D86-932C-AF423A8D38ED}" name="States" dataDxfId="5" dataCellStyle="Currency"/>
    <tableColumn id="16" xr3:uid="{C56BEBA8-7E65-47FD-9D79-775F179056CE}" name="City" dataDxfId="4"/>
    <tableColumn id="17" xr3:uid="{FDAE72C0-FF85-48BA-B205-D8FA1647ABCC}" name="Month" dataDxfId="3">
      <calculatedColumnFormula>TEXT(Table1[[#This Row],[Date]],"mmm")</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C118C-3B6F-4796-87C4-31667A9EDF47}">
  <dimension ref="A1:N301"/>
  <sheetViews>
    <sheetView topLeftCell="C276" zoomScale="117" zoomScaleNormal="70" workbookViewId="0">
      <selection activeCell="K2" sqref="K2:K301"/>
    </sheetView>
  </sheetViews>
  <sheetFormatPr defaultRowHeight="14.4" x14ac:dyDescent="0.3"/>
  <cols>
    <col min="1" max="1" width="5.44140625" bestFit="1" customWidth="1"/>
    <col min="2" max="2" width="11.6640625" bestFit="1" customWidth="1"/>
    <col min="3" max="3" width="12.21875" bestFit="1" customWidth="1"/>
    <col min="4" max="4" width="12" bestFit="1" customWidth="1"/>
    <col min="5" max="5" width="7" bestFit="1" customWidth="1"/>
    <col min="6" max="6" width="3.33203125" style="1" bestFit="1" customWidth="1"/>
    <col min="7" max="8" width="11.109375" bestFit="1" customWidth="1"/>
    <col min="9" max="10" width="12.21875" bestFit="1" customWidth="1"/>
    <col min="11" max="11" width="12.77734375" bestFit="1" customWidth="1"/>
    <col min="12" max="12" width="13.33203125" bestFit="1" customWidth="1"/>
    <col min="13" max="13" width="16" bestFit="1" customWidth="1"/>
    <col min="14" max="14" width="4.88671875" bestFit="1" customWidth="1"/>
  </cols>
  <sheetData>
    <row r="1" spans="1:14" x14ac:dyDescent="0.3">
      <c r="A1" s="23" t="s">
        <v>79</v>
      </c>
      <c r="B1" s="24" t="s">
        <v>0</v>
      </c>
      <c r="C1" s="23" t="s">
        <v>78</v>
      </c>
      <c r="D1" s="23" t="s">
        <v>1</v>
      </c>
      <c r="E1" s="23" t="s">
        <v>71</v>
      </c>
      <c r="F1" s="23" t="s">
        <v>77</v>
      </c>
      <c r="G1" s="23" t="s">
        <v>75</v>
      </c>
      <c r="H1" s="23" t="s">
        <v>76</v>
      </c>
      <c r="I1" s="25" t="s">
        <v>82</v>
      </c>
      <c r="J1" s="25" t="s">
        <v>80</v>
      </c>
      <c r="K1" s="26" t="s">
        <v>85</v>
      </c>
      <c r="L1" s="29" t="s">
        <v>341</v>
      </c>
      <c r="M1" s="29" t="s">
        <v>342</v>
      </c>
      <c r="N1" s="29" t="s">
        <v>385</v>
      </c>
    </row>
    <row r="2" spans="1:14" x14ac:dyDescent="0.3">
      <c r="A2" s="12" t="s">
        <v>297</v>
      </c>
      <c r="B2" s="13">
        <v>45293</v>
      </c>
      <c r="C2" s="12" t="s">
        <v>24</v>
      </c>
      <c r="D2" s="12" t="s">
        <v>4</v>
      </c>
      <c r="E2" s="12" t="s">
        <v>72</v>
      </c>
      <c r="F2" s="12">
        <v>10</v>
      </c>
      <c r="G2" s="35">
        <v>6131.7</v>
      </c>
      <c r="H2" s="35">
        <v>7570</v>
      </c>
      <c r="I2" s="14">
        <f>F2*G2</f>
        <v>61317</v>
      </c>
      <c r="J2" s="14">
        <v>75700</v>
      </c>
      <c r="K2" s="15">
        <f>J2-I2</f>
        <v>14383</v>
      </c>
      <c r="L2" s="14" t="s">
        <v>343</v>
      </c>
      <c r="M2" s="15" t="s">
        <v>366</v>
      </c>
      <c r="N2" s="15" t="str">
        <f>TEXT(Table1[[#This Row],[Date]],"mmm")</f>
        <v>Jan</v>
      </c>
    </row>
    <row r="3" spans="1:14" x14ac:dyDescent="0.3">
      <c r="A3" s="12" t="s">
        <v>279</v>
      </c>
      <c r="B3" s="13">
        <v>45294</v>
      </c>
      <c r="C3" s="12" t="s">
        <v>24</v>
      </c>
      <c r="D3" s="12" t="s">
        <v>4</v>
      </c>
      <c r="E3" s="12" t="s">
        <v>72</v>
      </c>
      <c r="F3" s="12">
        <v>4</v>
      </c>
      <c r="G3" s="35">
        <v>42856.45</v>
      </c>
      <c r="H3" s="35">
        <v>47095</v>
      </c>
      <c r="I3" s="14">
        <f>F3*G3</f>
        <v>171425.8</v>
      </c>
      <c r="J3" s="14">
        <v>188380</v>
      </c>
      <c r="K3" s="15">
        <f>J3-I3</f>
        <v>16954.200000000012</v>
      </c>
      <c r="L3" s="14" t="s">
        <v>343</v>
      </c>
      <c r="M3" s="15" t="s">
        <v>376</v>
      </c>
      <c r="N3" s="15" t="str">
        <f>TEXT(Table1[[#This Row],[Date]],"mmm")</f>
        <v>Jan</v>
      </c>
    </row>
    <row r="4" spans="1:14" x14ac:dyDescent="0.3">
      <c r="A4" s="8" t="s">
        <v>7</v>
      </c>
      <c r="B4" s="9">
        <v>45296</v>
      </c>
      <c r="C4" s="8" t="s">
        <v>8</v>
      </c>
      <c r="D4" s="8" t="s">
        <v>4</v>
      </c>
      <c r="E4" s="8" t="s">
        <v>72</v>
      </c>
      <c r="F4" s="8">
        <v>2</v>
      </c>
      <c r="G4" s="36">
        <v>3289.29</v>
      </c>
      <c r="H4" s="36">
        <v>3963</v>
      </c>
      <c r="I4" s="10">
        <f>'01.Table'!$G4*'01.Table'!$F4</f>
        <v>6578.58</v>
      </c>
      <c r="J4" s="10">
        <v>7926</v>
      </c>
      <c r="K4" s="11">
        <f>'01.Table'!$J4-'01.Table'!$I4</f>
        <v>1347.42</v>
      </c>
      <c r="L4" s="10" t="s">
        <v>345</v>
      </c>
      <c r="M4" s="11" t="s">
        <v>347</v>
      </c>
      <c r="N4" s="11" t="str">
        <f>TEXT(Table1[[#This Row],[Date]],"mmm")</f>
        <v>Jan</v>
      </c>
    </row>
    <row r="5" spans="1:14" x14ac:dyDescent="0.3">
      <c r="A5" s="12" t="s">
        <v>241</v>
      </c>
      <c r="B5" s="13">
        <v>45296</v>
      </c>
      <c r="C5" s="12" t="s">
        <v>24</v>
      </c>
      <c r="D5" s="12" t="s">
        <v>4</v>
      </c>
      <c r="E5" s="12" t="s">
        <v>72</v>
      </c>
      <c r="F5" s="12">
        <v>6</v>
      </c>
      <c r="G5" s="35">
        <v>34115.31</v>
      </c>
      <c r="H5" s="35">
        <v>39213</v>
      </c>
      <c r="I5" s="14">
        <f>F5*G5</f>
        <v>204691.86</v>
      </c>
      <c r="J5" s="14">
        <v>235278</v>
      </c>
      <c r="K5" s="15">
        <f>J5-I5</f>
        <v>30586.140000000014</v>
      </c>
      <c r="L5" s="14" t="s">
        <v>355</v>
      </c>
      <c r="M5" s="15" t="s">
        <v>374</v>
      </c>
      <c r="N5" s="15" t="str">
        <f>TEXT(Table1[[#This Row],[Date]],"mmm")</f>
        <v>Jan</v>
      </c>
    </row>
    <row r="6" spans="1:14" x14ac:dyDescent="0.3">
      <c r="A6" s="12" t="s">
        <v>267</v>
      </c>
      <c r="B6" s="13">
        <v>45298</v>
      </c>
      <c r="C6" s="12" t="s">
        <v>15</v>
      </c>
      <c r="D6" s="12" t="s">
        <v>13</v>
      </c>
      <c r="E6" s="12" t="s">
        <v>72</v>
      </c>
      <c r="F6" s="12">
        <v>3</v>
      </c>
      <c r="G6" s="35">
        <v>12962.04</v>
      </c>
      <c r="H6" s="35">
        <v>15431</v>
      </c>
      <c r="I6" s="14">
        <f>F6*G6</f>
        <v>38886.120000000003</v>
      </c>
      <c r="J6" s="14">
        <v>46293</v>
      </c>
      <c r="K6" s="15">
        <f>J6-I6</f>
        <v>7406.8799999999974</v>
      </c>
      <c r="L6" s="14" t="s">
        <v>355</v>
      </c>
      <c r="M6" s="15" t="s">
        <v>363</v>
      </c>
      <c r="N6" s="15" t="str">
        <f>TEXT(Table1[[#This Row],[Date]],"mmm")</f>
        <v>Jan</v>
      </c>
    </row>
    <row r="7" spans="1:14" x14ac:dyDescent="0.3">
      <c r="A7" s="8" t="s">
        <v>54</v>
      </c>
      <c r="B7" s="9">
        <v>45301</v>
      </c>
      <c r="C7" s="8" t="s">
        <v>51</v>
      </c>
      <c r="D7" s="8" t="s">
        <v>49</v>
      </c>
      <c r="E7" s="8" t="s">
        <v>73</v>
      </c>
      <c r="F7" s="8">
        <v>2</v>
      </c>
      <c r="G7" s="36">
        <v>17407.259999999998</v>
      </c>
      <c r="H7" s="36">
        <v>20241</v>
      </c>
      <c r="I7" s="10">
        <f>'01.Table'!$G36*'01.Table'!$F36</f>
        <v>20135.919999999998</v>
      </c>
      <c r="J7" s="10">
        <v>40482</v>
      </c>
      <c r="K7" s="11">
        <f>'01.Table'!$J36-'01.Table'!$I36</f>
        <v>4420.0800000000017</v>
      </c>
      <c r="L7" s="10" t="s">
        <v>345</v>
      </c>
      <c r="M7" s="11" t="s">
        <v>375</v>
      </c>
      <c r="N7" s="11" t="str">
        <f>TEXT(Table1[[#This Row],[Date]],"mmm")</f>
        <v>Jan</v>
      </c>
    </row>
    <row r="8" spans="1:14" x14ac:dyDescent="0.3">
      <c r="A8" s="8" t="s">
        <v>146</v>
      </c>
      <c r="B8" s="9">
        <v>45304</v>
      </c>
      <c r="C8" s="8" t="s">
        <v>24</v>
      </c>
      <c r="D8" s="8" t="s">
        <v>28</v>
      </c>
      <c r="E8" s="8" t="s">
        <v>72</v>
      </c>
      <c r="F8" s="8">
        <v>3</v>
      </c>
      <c r="G8" s="36">
        <v>26482.14</v>
      </c>
      <c r="H8" s="36">
        <v>32694</v>
      </c>
      <c r="I8" s="10">
        <f>F8*G8</f>
        <v>79446.42</v>
      </c>
      <c r="J8" s="10">
        <v>98082</v>
      </c>
      <c r="K8" s="11">
        <f>J8-I8</f>
        <v>18635.580000000002</v>
      </c>
      <c r="L8" s="10" t="s">
        <v>351</v>
      </c>
      <c r="M8" s="11" t="s">
        <v>380</v>
      </c>
      <c r="N8" s="11" t="str">
        <f>TEXT(Table1[[#This Row],[Date]],"mmm")</f>
        <v>Jan</v>
      </c>
    </row>
    <row r="9" spans="1:14" x14ac:dyDescent="0.3">
      <c r="A9" s="8" t="s">
        <v>150</v>
      </c>
      <c r="B9" s="9">
        <v>45304</v>
      </c>
      <c r="C9" s="8" t="s">
        <v>26</v>
      </c>
      <c r="D9" s="8" t="s">
        <v>28</v>
      </c>
      <c r="E9" s="8" t="s">
        <v>72</v>
      </c>
      <c r="F9" s="8">
        <v>10</v>
      </c>
      <c r="G9" s="36">
        <v>19596.75</v>
      </c>
      <c r="H9" s="36">
        <v>22525</v>
      </c>
      <c r="I9" s="10">
        <f>F9*G9</f>
        <v>195967.5</v>
      </c>
      <c r="J9" s="10">
        <v>225250</v>
      </c>
      <c r="K9" s="11">
        <f>J9-I9</f>
        <v>29282.5</v>
      </c>
      <c r="L9" s="10" t="s">
        <v>355</v>
      </c>
      <c r="M9" s="11" t="s">
        <v>363</v>
      </c>
      <c r="N9" s="11" t="str">
        <f>TEXT(Table1[[#This Row],[Date]],"mmm")</f>
        <v>Jan</v>
      </c>
    </row>
    <row r="10" spans="1:14" x14ac:dyDescent="0.3">
      <c r="A10" s="12" t="s">
        <v>173</v>
      </c>
      <c r="B10" s="13">
        <v>45304</v>
      </c>
      <c r="C10" s="12" t="s">
        <v>6</v>
      </c>
      <c r="D10" s="12" t="s">
        <v>37</v>
      </c>
      <c r="E10" s="12" t="s">
        <v>73</v>
      </c>
      <c r="F10" s="12">
        <v>9</v>
      </c>
      <c r="G10" s="35">
        <v>19864.8</v>
      </c>
      <c r="H10" s="35">
        <v>24831</v>
      </c>
      <c r="I10" s="14">
        <f>F10*G10</f>
        <v>178783.19999999998</v>
      </c>
      <c r="J10" s="14">
        <v>223479</v>
      </c>
      <c r="K10" s="15">
        <f>J10-I10</f>
        <v>44695.800000000017</v>
      </c>
      <c r="L10" s="14" t="s">
        <v>345</v>
      </c>
      <c r="M10" s="15" t="s">
        <v>375</v>
      </c>
      <c r="N10" s="15" t="str">
        <f>TEXT(Table1[[#This Row],[Date]],"mmm")</f>
        <v>Jan</v>
      </c>
    </row>
    <row r="11" spans="1:14" x14ac:dyDescent="0.3">
      <c r="A11" s="12" t="s">
        <v>175</v>
      </c>
      <c r="B11" s="13">
        <v>45304</v>
      </c>
      <c r="C11" s="12" t="s">
        <v>3</v>
      </c>
      <c r="D11" s="12" t="s">
        <v>13</v>
      </c>
      <c r="E11" s="12" t="s">
        <v>73</v>
      </c>
      <c r="F11" s="12">
        <v>2</v>
      </c>
      <c r="G11" s="35">
        <v>36479.339999999997</v>
      </c>
      <c r="H11" s="35">
        <v>44487</v>
      </c>
      <c r="I11" s="14">
        <f>F11*G11</f>
        <v>72958.679999999993</v>
      </c>
      <c r="J11" s="14">
        <v>88974</v>
      </c>
      <c r="K11" s="15">
        <f>J11-I11</f>
        <v>16015.320000000007</v>
      </c>
      <c r="L11" s="14" t="s">
        <v>355</v>
      </c>
      <c r="M11" s="15" t="s">
        <v>372</v>
      </c>
      <c r="N11" s="15" t="str">
        <f>TEXT(Table1[[#This Row],[Date]],"mmm")</f>
        <v>Jan</v>
      </c>
    </row>
    <row r="12" spans="1:14" x14ac:dyDescent="0.3">
      <c r="A12" s="8" t="s">
        <v>11</v>
      </c>
      <c r="B12" s="9">
        <v>45305</v>
      </c>
      <c r="C12" s="8" t="s">
        <v>3</v>
      </c>
      <c r="D12" s="8" t="s">
        <v>4</v>
      </c>
      <c r="E12" s="8" t="s">
        <v>72</v>
      </c>
      <c r="F12" s="8">
        <v>10</v>
      </c>
      <c r="G12" s="36">
        <v>25648.799999999999</v>
      </c>
      <c r="H12" s="36">
        <v>32061</v>
      </c>
      <c r="I12" s="10">
        <f>'01.Table'!$G6*'01.Table'!$F6</f>
        <v>38886.120000000003</v>
      </c>
      <c r="J12" s="10">
        <v>320610</v>
      </c>
      <c r="K12" s="11">
        <f>'01.Table'!$J6-'01.Table'!$I6</f>
        <v>7406.8799999999974</v>
      </c>
      <c r="L12" s="10" t="s">
        <v>345</v>
      </c>
      <c r="M12" s="11" t="s">
        <v>350</v>
      </c>
      <c r="N12" s="11" t="str">
        <f>TEXT(Table1[[#This Row],[Date]],"mmm")</f>
        <v>Jan</v>
      </c>
    </row>
    <row r="13" spans="1:14" x14ac:dyDescent="0.3">
      <c r="A13" s="12" t="s">
        <v>38</v>
      </c>
      <c r="B13" s="13">
        <v>45306</v>
      </c>
      <c r="C13" s="12" t="s">
        <v>24</v>
      </c>
      <c r="D13" s="12" t="s">
        <v>37</v>
      </c>
      <c r="E13" s="12" t="s">
        <v>72</v>
      </c>
      <c r="F13" s="12">
        <v>5</v>
      </c>
      <c r="G13" s="35">
        <v>6872.42</v>
      </c>
      <c r="H13" s="35">
        <v>8381</v>
      </c>
      <c r="I13" s="14">
        <f>'01.Table'!$G23*'01.Table'!$F23</f>
        <v>216172</v>
      </c>
      <c r="J13" s="14">
        <v>41905</v>
      </c>
      <c r="K13" s="15">
        <f>'01.Table'!$J23-'01.Table'!$I23</f>
        <v>29478</v>
      </c>
      <c r="L13" s="14" t="s">
        <v>355</v>
      </c>
      <c r="M13" s="15" t="s">
        <v>357</v>
      </c>
      <c r="N13" s="15" t="str">
        <f>TEXT(Table1[[#This Row],[Date]],"mmm")</f>
        <v>Jan</v>
      </c>
    </row>
    <row r="14" spans="1:14" x14ac:dyDescent="0.3">
      <c r="A14" s="12" t="s">
        <v>237</v>
      </c>
      <c r="B14" s="13">
        <v>45306</v>
      </c>
      <c r="C14" s="12" t="s">
        <v>22</v>
      </c>
      <c r="D14" s="12" t="s">
        <v>28</v>
      </c>
      <c r="E14" s="12" t="s">
        <v>72</v>
      </c>
      <c r="F14" s="12">
        <v>9</v>
      </c>
      <c r="G14" s="35">
        <v>7996</v>
      </c>
      <c r="H14" s="35">
        <v>9995</v>
      </c>
      <c r="I14" s="14">
        <f>F14*G14</f>
        <v>71964</v>
      </c>
      <c r="J14" s="14">
        <v>89955</v>
      </c>
      <c r="K14" s="15">
        <f>J14-I14</f>
        <v>17991</v>
      </c>
      <c r="L14" s="14" t="s">
        <v>351</v>
      </c>
      <c r="M14" s="15" t="s">
        <v>380</v>
      </c>
      <c r="N14" s="15" t="str">
        <f>TEXT(Table1[[#This Row],[Date]],"mmm")</f>
        <v>Jan</v>
      </c>
    </row>
    <row r="15" spans="1:14" x14ac:dyDescent="0.3">
      <c r="A15" s="12" t="s">
        <v>257</v>
      </c>
      <c r="B15" s="13">
        <v>45306</v>
      </c>
      <c r="C15" s="12" t="s">
        <v>8</v>
      </c>
      <c r="D15" s="12" t="s">
        <v>44</v>
      </c>
      <c r="E15" s="12" t="s">
        <v>72</v>
      </c>
      <c r="F15" s="12">
        <v>9</v>
      </c>
      <c r="G15" s="35">
        <v>25294.32</v>
      </c>
      <c r="H15" s="35">
        <v>29412</v>
      </c>
      <c r="I15" s="14">
        <f>F15*G15</f>
        <v>227648.88</v>
      </c>
      <c r="J15" s="14">
        <v>264708</v>
      </c>
      <c r="K15" s="15">
        <f>J15-I15</f>
        <v>37059.119999999995</v>
      </c>
      <c r="L15" s="14" t="s">
        <v>364</v>
      </c>
      <c r="M15" s="15" t="s">
        <v>383</v>
      </c>
      <c r="N15" s="15" t="str">
        <f>TEXT(Table1[[#This Row],[Date]],"mmm")</f>
        <v>Jan</v>
      </c>
    </row>
    <row r="16" spans="1:14" x14ac:dyDescent="0.3">
      <c r="A16" s="8" t="s">
        <v>308</v>
      </c>
      <c r="B16" s="9">
        <v>45307</v>
      </c>
      <c r="C16" s="8" t="s">
        <v>3</v>
      </c>
      <c r="D16" s="8" t="s">
        <v>37</v>
      </c>
      <c r="E16" s="8" t="s">
        <v>73</v>
      </c>
      <c r="F16" s="8">
        <v>5</v>
      </c>
      <c r="G16" s="36">
        <v>16778.96</v>
      </c>
      <c r="H16" s="36">
        <v>18238</v>
      </c>
      <c r="I16" s="10">
        <f>F16*G16</f>
        <v>83894.799999999988</v>
      </c>
      <c r="J16" s="10">
        <v>91190</v>
      </c>
      <c r="K16" s="11">
        <f>J16-I16</f>
        <v>7295.2000000000116</v>
      </c>
      <c r="L16" s="10" t="s">
        <v>348</v>
      </c>
      <c r="M16" s="11" t="s">
        <v>349</v>
      </c>
      <c r="N16" s="11" t="str">
        <f>TEXT(Table1[[#This Row],[Date]],"mmm")</f>
        <v>Jan</v>
      </c>
    </row>
    <row r="17" spans="1:14" x14ac:dyDescent="0.3">
      <c r="A17" s="8" t="s">
        <v>43</v>
      </c>
      <c r="B17" s="9">
        <v>45310</v>
      </c>
      <c r="C17" s="8" t="s">
        <v>26</v>
      </c>
      <c r="D17" s="8" t="s">
        <v>44</v>
      </c>
      <c r="E17" s="8" t="s">
        <v>72</v>
      </c>
      <c r="F17" s="8">
        <v>5</v>
      </c>
      <c r="G17" s="36">
        <v>19801.36</v>
      </c>
      <c r="H17" s="36">
        <v>24148</v>
      </c>
      <c r="I17" s="10">
        <f>'01.Table'!$G28*'01.Table'!$F28</f>
        <v>38341.919999999998</v>
      </c>
      <c r="J17" s="10">
        <v>120740</v>
      </c>
      <c r="K17" s="11">
        <f>'01.Table'!$J28-'01.Table'!$I28</f>
        <v>3334.0800000000017</v>
      </c>
      <c r="L17" s="10" t="s">
        <v>348</v>
      </c>
      <c r="M17" s="11" t="s">
        <v>367</v>
      </c>
      <c r="N17" s="11" t="str">
        <f>TEXT(Table1[[#This Row],[Date]],"mmm")</f>
        <v>Jan</v>
      </c>
    </row>
    <row r="18" spans="1:14" x14ac:dyDescent="0.3">
      <c r="A18" s="8" t="s">
        <v>318</v>
      </c>
      <c r="B18" s="9">
        <v>45310</v>
      </c>
      <c r="C18" s="8" t="s">
        <v>10</v>
      </c>
      <c r="D18" s="8" t="s">
        <v>49</v>
      </c>
      <c r="E18" s="8" t="s">
        <v>73</v>
      </c>
      <c r="F18" s="8">
        <v>5</v>
      </c>
      <c r="G18" s="36">
        <v>32226.01</v>
      </c>
      <c r="H18" s="36">
        <v>36209</v>
      </c>
      <c r="I18" s="10">
        <f>F18*G18</f>
        <v>161130.04999999999</v>
      </c>
      <c r="J18" s="10">
        <v>181045</v>
      </c>
      <c r="K18" s="11">
        <f>J18-I18</f>
        <v>19914.950000000012</v>
      </c>
      <c r="L18" s="10" t="s">
        <v>348</v>
      </c>
      <c r="M18" s="11" t="s">
        <v>373</v>
      </c>
      <c r="N18" s="11" t="str">
        <f>TEXT(Table1[[#This Row],[Date]],"mmm")</f>
        <v>Jan</v>
      </c>
    </row>
    <row r="19" spans="1:14" x14ac:dyDescent="0.3">
      <c r="A19" s="12" t="s">
        <v>291</v>
      </c>
      <c r="B19" s="13">
        <v>45313</v>
      </c>
      <c r="C19" s="12" t="s">
        <v>8</v>
      </c>
      <c r="D19" s="12" t="s">
        <v>28</v>
      </c>
      <c r="E19" s="12" t="s">
        <v>72</v>
      </c>
      <c r="F19" s="12">
        <v>3</v>
      </c>
      <c r="G19" s="35">
        <v>22194.82</v>
      </c>
      <c r="H19" s="35">
        <v>24938</v>
      </c>
      <c r="I19" s="14">
        <f>F19*G19</f>
        <v>66584.459999999992</v>
      </c>
      <c r="J19" s="14">
        <v>74814</v>
      </c>
      <c r="K19" s="15">
        <f>J19-I19</f>
        <v>8229.5400000000081</v>
      </c>
      <c r="L19" s="14" t="s">
        <v>343</v>
      </c>
      <c r="M19" s="15" t="s">
        <v>369</v>
      </c>
      <c r="N19" s="15" t="str">
        <f>TEXT(Table1[[#This Row],[Date]],"mmm")</f>
        <v>Jan</v>
      </c>
    </row>
    <row r="20" spans="1:14" x14ac:dyDescent="0.3">
      <c r="A20" s="12" t="s">
        <v>331</v>
      </c>
      <c r="B20" s="13">
        <v>45313</v>
      </c>
      <c r="C20" s="12" t="s">
        <v>26</v>
      </c>
      <c r="D20" s="12" t="s">
        <v>4</v>
      </c>
      <c r="E20" s="12" t="s">
        <v>73</v>
      </c>
      <c r="F20" s="12">
        <v>5</v>
      </c>
      <c r="G20" s="35">
        <v>31449.599999999999</v>
      </c>
      <c r="H20" s="35">
        <v>34560</v>
      </c>
      <c r="I20" s="14">
        <f>F20*G20</f>
        <v>157248</v>
      </c>
      <c r="J20" s="14">
        <v>172800</v>
      </c>
      <c r="K20" s="15">
        <f>J20-I20</f>
        <v>15552</v>
      </c>
      <c r="L20" s="14" t="s">
        <v>345</v>
      </c>
      <c r="M20" s="15" t="s">
        <v>375</v>
      </c>
      <c r="N20" s="15" t="str">
        <f>TEXT(Table1[[#This Row],[Date]],"mmm")</f>
        <v>Jan</v>
      </c>
    </row>
    <row r="21" spans="1:14" x14ac:dyDescent="0.3">
      <c r="A21" s="12" t="s">
        <v>32</v>
      </c>
      <c r="B21" s="13">
        <v>45314</v>
      </c>
      <c r="C21" s="12" t="s">
        <v>6</v>
      </c>
      <c r="D21" s="12" t="s">
        <v>28</v>
      </c>
      <c r="E21" s="12" t="s">
        <v>72</v>
      </c>
      <c r="F21" s="12">
        <v>2</v>
      </c>
      <c r="G21" s="35">
        <v>15959.279999999999</v>
      </c>
      <c r="H21" s="35">
        <v>18344</v>
      </c>
      <c r="I21" s="14">
        <f>'01.Table'!$G19*'01.Table'!$F19</f>
        <v>66584.459999999992</v>
      </c>
      <c r="J21" s="14">
        <v>36688</v>
      </c>
      <c r="K21" s="15">
        <f>'01.Table'!$J19-'01.Table'!$I19</f>
        <v>8229.5400000000081</v>
      </c>
      <c r="L21" s="14" t="s">
        <v>355</v>
      </c>
      <c r="M21" s="15" t="s">
        <v>363</v>
      </c>
      <c r="N21" s="15" t="str">
        <f>TEXT(Table1[[#This Row],[Date]],"mmm")</f>
        <v>Jan</v>
      </c>
    </row>
    <row r="22" spans="1:14" x14ac:dyDescent="0.3">
      <c r="A22" s="12" t="s">
        <v>265</v>
      </c>
      <c r="B22" s="13">
        <v>45318</v>
      </c>
      <c r="C22" s="12" t="s">
        <v>3</v>
      </c>
      <c r="D22" s="12" t="s">
        <v>4</v>
      </c>
      <c r="E22" s="12" t="s">
        <v>73</v>
      </c>
      <c r="F22" s="12">
        <v>6</v>
      </c>
      <c r="G22" s="35">
        <v>44541.9</v>
      </c>
      <c r="H22" s="35">
        <v>49491</v>
      </c>
      <c r="I22" s="14">
        <f>F22*G22</f>
        <v>267251.40000000002</v>
      </c>
      <c r="J22" s="14">
        <v>296946</v>
      </c>
      <c r="K22" s="15">
        <f>J22-I22</f>
        <v>29694.599999999977</v>
      </c>
      <c r="L22" s="14" t="s">
        <v>364</v>
      </c>
      <c r="M22" s="15" t="s">
        <v>382</v>
      </c>
      <c r="N22" s="15" t="str">
        <f>TEXT(Table1[[#This Row],[Date]],"mmm")</f>
        <v>Jan</v>
      </c>
    </row>
    <row r="23" spans="1:14" x14ac:dyDescent="0.3">
      <c r="A23" s="12" t="s">
        <v>329</v>
      </c>
      <c r="B23" s="13">
        <v>45319</v>
      </c>
      <c r="C23" s="12" t="s">
        <v>8</v>
      </c>
      <c r="D23" s="12" t="s">
        <v>44</v>
      </c>
      <c r="E23" s="12" t="s">
        <v>73</v>
      </c>
      <c r="F23" s="12">
        <v>10</v>
      </c>
      <c r="G23" s="35">
        <v>21617.200000000001</v>
      </c>
      <c r="H23" s="35">
        <v>24565</v>
      </c>
      <c r="I23" s="14">
        <f>F23*G23</f>
        <v>216172</v>
      </c>
      <c r="J23" s="14">
        <v>245650</v>
      </c>
      <c r="K23" s="15">
        <f>J23-I23</f>
        <v>29478</v>
      </c>
      <c r="L23" s="14" t="s">
        <v>345</v>
      </c>
      <c r="M23" s="15" t="s">
        <v>350</v>
      </c>
      <c r="N23" s="15" t="str">
        <f>TEXT(Table1[[#This Row],[Date]],"mmm")</f>
        <v>Jan</v>
      </c>
    </row>
    <row r="24" spans="1:14" x14ac:dyDescent="0.3">
      <c r="A24" s="12" t="s">
        <v>5</v>
      </c>
      <c r="B24" s="13">
        <v>45322</v>
      </c>
      <c r="C24" s="12" t="s">
        <v>6</v>
      </c>
      <c r="D24" s="12" t="s">
        <v>4</v>
      </c>
      <c r="E24" s="12" t="s">
        <v>72</v>
      </c>
      <c r="F24" s="12">
        <v>10</v>
      </c>
      <c r="G24" s="35">
        <v>7005.7</v>
      </c>
      <c r="H24" s="35">
        <v>8242</v>
      </c>
      <c r="I24" s="14">
        <f>'01.Table'!$G3*'01.Table'!$F3</f>
        <v>171425.8</v>
      </c>
      <c r="J24" s="14">
        <v>82420</v>
      </c>
      <c r="K24" s="15">
        <f>'01.Table'!$J3-'01.Table'!$I3</f>
        <v>16954.200000000012</v>
      </c>
      <c r="L24" s="14" t="s">
        <v>345</v>
      </c>
      <c r="M24" s="15" t="s">
        <v>346</v>
      </c>
      <c r="N24" s="15" t="str">
        <f>TEXT(Table1[[#This Row],[Date]],"mmm")</f>
        <v>Jan</v>
      </c>
    </row>
    <row r="25" spans="1:14" x14ac:dyDescent="0.3">
      <c r="A25" s="12" t="s">
        <v>25</v>
      </c>
      <c r="B25" s="13">
        <v>45323</v>
      </c>
      <c r="C25" s="12" t="s">
        <v>26</v>
      </c>
      <c r="D25" s="12" t="s">
        <v>20</v>
      </c>
      <c r="E25" s="12" t="s">
        <v>73</v>
      </c>
      <c r="F25" s="12">
        <v>4</v>
      </c>
      <c r="G25" s="35">
        <v>16722.260000000002</v>
      </c>
      <c r="H25" s="35">
        <v>20393</v>
      </c>
      <c r="I25" s="14">
        <f>'01.Table'!$G15*'01.Table'!$F15</f>
        <v>227648.88</v>
      </c>
      <c r="J25" s="14">
        <v>81572</v>
      </c>
      <c r="K25" s="15">
        <f>'01.Table'!$J15-'01.Table'!$I15</f>
        <v>37059.119999999995</v>
      </c>
      <c r="L25" s="14" t="s">
        <v>343</v>
      </c>
      <c r="M25" s="15" t="s">
        <v>360</v>
      </c>
      <c r="N25" s="15" t="str">
        <f>TEXT(Table1[[#This Row],[Date]],"mmm")</f>
        <v>Feb</v>
      </c>
    </row>
    <row r="26" spans="1:14" x14ac:dyDescent="0.3">
      <c r="A26" s="8" t="s">
        <v>112</v>
      </c>
      <c r="B26" s="9">
        <v>45325</v>
      </c>
      <c r="C26" s="8" t="s">
        <v>24</v>
      </c>
      <c r="D26" s="8" t="s">
        <v>37</v>
      </c>
      <c r="E26" s="8" t="s">
        <v>73</v>
      </c>
      <c r="F26" s="8">
        <v>8</v>
      </c>
      <c r="G26" s="36">
        <v>24731.32</v>
      </c>
      <c r="H26" s="36">
        <v>27788</v>
      </c>
      <c r="I26" s="10">
        <f>F26*G26</f>
        <v>197850.56</v>
      </c>
      <c r="J26" s="10">
        <v>222304</v>
      </c>
      <c r="K26" s="11">
        <f>J26-I26</f>
        <v>24453.440000000002</v>
      </c>
      <c r="L26" s="10" t="s">
        <v>345</v>
      </c>
      <c r="M26" s="11" t="s">
        <v>358</v>
      </c>
      <c r="N26" s="11" t="str">
        <f>TEXT(Table1[[#This Row],[Date]],"mmm")</f>
        <v>Feb</v>
      </c>
    </row>
    <row r="27" spans="1:14" x14ac:dyDescent="0.3">
      <c r="A27" s="8" t="s">
        <v>224</v>
      </c>
      <c r="B27" s="9">
        <v>45325</v>
      </c>
      <c r="C27" s="8" t="s">
        <v>3</v>
      </c>
      <c r="D27" s="8" t="s">
        <v>28</v>
      </c>
      <c r="E27" s="8" t="s">
        <v>72</v>
      </c>
      <c r="F27" s="8">
        <v>10</v>
      </c>
      <c r="G27" s="36">
        <v>10941.6</v>
      </c>
      <c r="H27" s="36">
        <v>13677</v>
      </c>
      <c r="I27" s="10">
        <f>F27*G27</f>
        <v>109416</v>
      </c>
      <c r="J27" s="10">
        <v>136770</v>
      </c>
      <c r="K27" s="11">
        <f>J27-I27</f>
        <v>27354</v>
      </c>
      <c r="L27" s="10" t="s">
        <v>345</v>
      </c>
      <c r="M27" s="11" t="s">
        <v>370</v>
      </c>
      <c r="N27" s="11" t="str">
        <f>TEXT(Table1[[#This Row],[Date]],"mmm")</f>
        <v>Feb</v>
      </c>
    </row>
    <row r="28" spans="1:14" x14ac:dyDescent="0.3">
      <c r="A28" s="8" t="s">
        <v>218</v>
      </c>
      <c r="B28" s="9">
        <v>45326</v>
      </c>
      <c r="C28" s="8" t="s">
        <v>24</v>
      </c>
      <c r="D28" s="8" t="s">
        <v>49</v>
      </c>
      <c r="E28" s="8" t="s">
        <v>73</v>
      </c>
      <c r="F28" s="8">
        <v>2</v>
      </c>
      <c r="G28" s="36">
        <v>19170.96</v>
      </c>
      <c r="H28" s="36">
        <v>20838</v>
      </c>
      <c r="I28" s="10">
        <f>F28*G28</f>
        <v>38341.919999999998</v>
      </c>
      <c r="J28" s="10">
        <v>41676</v>
      </c>
      <c r="K28" s="11">
        <f>J28-I28</f>
        <v>3334.0800000000017</v>
      </c>
      <c r="L28" s="10" t="s">
        <v>364</v>
      </c>
      <c r="M28" s="11" t="s">
        <v>382</v>
      </c>
      <c r="N28" s="11" t="str">
        <f>TEXT(Table1[[#This Row],[Date]],"mmm")</f>
        <v>Feb</v>
      </c>
    </row>
    <row r="29" spans="1:14" x14ac:dyDescent="0.3">
      <c r="A29" s="12" t="s">
        <v>225</v>
      </c>
      <c r="B29" s="13">
        <v>45330</v>
      </c>
      <c r="C29" s="12" t="s">
        <v>15</v>
      </c>
      <c r="D29" s="12" t="s">
        <v>37</v>
      </c>
      <c r="E29" s="12" t="s">
        <v>72</v>
      </c>
      <c r="F29" s="12">
        <v>6</v>
      </c>
      <c r="G29" s="35">
        <v>3752.73</v>
      </c>
      <c r="H29" s="35">
        <v>4633</v>
      </c>
      <c r="I29" s="14">
        <f>F29*G29</f>
        <v>22516.38</v>
      </c>
      <c r="J29" s="14">
        <v>27798</v>
      </c>
      <c r="K29" s="15">
        <f>J29-I29</f>
        <v>5281.619999999999</v>
      </c>
      <c r="L29" s="14" t="s">
        <v>348</v>
      </c>
      <c r="M29" s="15" t="s">
        <v>373</v>
      </c>
      <c r="N29" s="15" t="str">
        <f>TEXT(Table1[[#This Row],[Date]],"mmm")</f>
        <v>Feb</v>
      </c>
    </row>
    <row r="30" spans="1:14" x14ac:dyDescent="0.3">
      <c r="A30" s="8" t="s">
        <v>63</v>
      </c>
      <c r="B30" s="9">
        <v>45331</v>
      </c>
      <c r="C30" s="8" t="s">
        <v>24</v>
      </c>
      <c r="D30" s="8" t="s">
        <v>60</v>
      </c>
      <c r="E30" s="8" t="s">
        <v>72</v>
      </c>
      <c r="F30" s="8">
        <v>5</v>
      </c>
      <c r="G30" s="36">
        <v>8220.0400000000009</v>
      </c>
      <c r="H30" s="36">
        <v>9236</v>
      </c>
      <c r="I30" s="10">
        <f>'01.Table'!$G44*'01.Table'!$F44</f>
        <v>51111</v>
      </c>
      <c r="J30" s="10">
        <v>46180</v>
      </c>
      <c r="K30" s="11">
        <f>'01.Table'!$J44-'01.Table'!$I44</f>
        <v>5679</v>
      </c>
      <c r="L30" s="10" t="s">
        <v>343</v>
      </c>
      <c r="M30" s="11" t="s">
        <v>366</v>
      </c>
      <c r="N30" s="11" t="str">
        <f>TEXT(Table1[[#This Row],[Date]],"mmm")</f>
        <v>Feb</v>
      </c>
    </row>
    <row r="31" spans="1:14" x14ac:dyDescent="0.3">
      <c r="A31" s="8" t="s">
        <v>190</v>
      </c>
      <c r="B31" s="9">
        <v>45332</v>
      </c>
      <c r="C31" s="8" t="s">
        <v>35</v>
      </c>
      <c r="D31" s="8" t="s">
        <v>20</v>
      </c>
      <c r="E31" s="8" t="s">
        <v>73</v>
      </c>
      <c r="F31" s="8">
        <v>2</v>
      </c>
      <c r="G31" s="36">
        <v>22920.48</v>
      </c>
      <c r="H31" s="36">
        <v>26046</v>
      </c>
      <c r="I31" s="10">
        <f t="shared" ref="I31:I38" si="0">F31*G31</f>
        <v>45840.959999999999</v>
      </c>
      <c r="J31" s="10">
        <v>52092</v>
      </c>
      <c r="K31" s="11">
        <f t="shared" ref="K31:K38" si="1">J31-I31</f>
        <v>6251.0400000000009</v>
      </c>
      <c r="L31" s="10" t="s">
        <v>355</v>
      </c>
      <c r="M31" s="11" t="s">
        <v>374</v>
      </c>
      <c r="N31" s="11" t="str">
        <f>TEXT(Table1[[#This Row],[Date]],"mmm")</f>
        <v>Feb</v>
      </c>
    </row>
    <row r="32" spans="1:14" x14ac:dyDescent="0.3">
      <c r="A32" s="8" t="s">
        <v>138</v>
      </c>
      <c r="B32" s="9">
        <v>45333</v>
      </c>
      <c r="C32" s="8" t="s">
        <v>51</v>
      </c>
      <c r="D32" s="8" t="s">
        <v>37</v>
      </c>
      <c r="E32" s="8" t="s">
        <v>73</v>
      </c>
      <c r="F32" s="8">
        <v>7</v>
      </c>
      <c r="G32" s="36">
        <v>44021.7</v>
      </c>
      <c r="H32" s="36">
        <v>48913</v>
      </c>
      <c r="I32" s="10">
        <f t="shared" si="0"/>
        <v>308151.89999999997</v>
      </c>
      <c r="J32" s="10">
        <v>342391</v>
      </c>
      <c r="K32" s="11">
        <f t="shared" si="1"/>
        <v>34239.100000000035</v>
      </c>
      <c r="L32" s="10" t="s">
        <v>343</v>
      </c>
      <c r="M32" s="11" t="s">
        <v>381</v>
      </c>
      <c r="N32" s="11" t="str">
        <f>TEXT(Table1[[#This Row],[Date]],"mmm")</f>
        <v>Feb</v>
      </c>
    </row>
    <row r="33" spans="1:14" x14ac:dyDescent="0.3">
      <c r="A33" s="12" t="s">
        <v>309</v>
      </c>
      <c r="B33" s="13">
        <v>45333</v>
      </c>
      <c r="C33" s="12" t="s">
        <v>24</v>
      </c>
      <c r="D33" s="12" t="s">
        <v>44</v>
      </c>
      <c r="E33" s="12" t="s">
        <v>72</v>
      </c>
      <c r="F33" s="12">
        <v>4</v>
      </c>
      <c r="G33" s="35">
        <v>36675</v>
      </c>
      <c r="H33" s="35">
        <v>40750</v>
      </c>
      <c r="I33" s="14">
        <f t="shared" si="0"/>
        <v>146700</v>
      </c>
      <c r="J33" s="14">
        <v>163000</v>
      </c>
      <c r="K33" s="15">
        <f t="shared" si="1"/>
        <v>16300</v>
      </c>
      <c r="L33" s="14" t="s">
        <v>343</v>
      </c>
      <c r="M33" s="15" t="s">
        <v>344</v>
      </c>
      <c r="N33" s="15" t="str">
        <f>TEXT(Table1[[#This Row],[Date]],"mmm")</f>
        <v>Feb</v>
      </c>
    </row>
    <row r="34" spans="1:14" x14ac:dyDescent="0.3">
      <c r="A34" s="8" t="s">
        <v>114</v>
      </c>
      <c r="B34" s="9">
        <v>45334</v>
      </c>
      <c r="C34" s="8" t="s">
        <v>22</v>
      </c>
      <c r="D34" s="8" t="s">
        <v>37</v>
      </c>
      <c r="E34" s="8" t="s">
        <v>73</v>
      </c>
      <c r="F34" s="8">
        <v>8</v>
      </c>
      <c r="G34" s="36">
        <v>23217.119999999999</v>
      </c>
      <c r="H34" s="36">
        <v>25236</v>
      </c>
      <c r="I34" s="10">
        <f t="shared" si="0"/>
        <v>185736.95999999999</v>
      </c>
      <c r="J34" s="10">
        <v>201888</v>
      </c>
      <c r="K34" s="11">
        <f t="shared" si="1"/>
        <v>16151.040000000008</v>
      </c>
      <c r="L34" s="10" t="s">
        <v>343</v>
      </c>
      <c r="M34" s="11" t="s">
        <v>381</v>
      </c>
      <c r="N34" s="11" t="str">
        <f>TEXT(Table1[[#This Row],[Date]],"mmm")</f>
        <v>Feb</v>
      </c>
    </row>
    <row r="35" spans="1:14" x14ac:dyDescent="0.3">
      <c r="A35" s="8" t="s">
        <v>256</v>
      </c>
      <c r="B35" s="9">
        <v>45337</v>
      </c>
      <c r="C35" s="8" t="s">
        <v>3</v>
      </c>
      <c r="D35" s="8" t="s">
        <v>28</v>
      </c>
      <c r="E35" s="8" t="s">
        <v>73</v>
      </c>
      <c r="F35" s="8">
        <v>4</v>
      </c>
      <c r="G35" s="36">
        <v>5816.7</v>
      </c>
      <c r="H35" s="36">
        <v>6463</v>
      </c>
      <c r="I35" s="10">
        <f t="shared" si="0"/>
        <v>23266.799999999999</v>
      </c>
      <c r="J35" s="10">
        <v>25852</v>
      </c>
      <c r="K35" s="11">
        <f t="shared" si="1"/>
        <v>2585.2000000000007</v>
      </c>
      <c r="L35" s="10" t="s">
        <v>345</v>
      </c>
      <c r="M35" s="11" t="s">
        <v>358</v>
      </c>
      <c r="N35" s="11" t="str">
        <f>TEXT(Table1[[#This Row],[Date]],"mmm")</f>
        <v>Feb</v>
      </c>
    </row>
    <row r="36" spans="1:14" x14ac:dyDescent="0.3">
      <c r="A36" s="8" t="s">
        <v>242</v>
      </c>
      <c r="B36" s="9">
        <v>45338</v>
      </c>
      <c r="C36" s="8" t="s">
        <v>22</v>
      </c>
      <c r="D36" s="8" t="s">
        <v>37</v>
      </c>
      <c r="E36" s="8" t="s">
        <v>72</v>
      </c>
      <c r="F36" s="8">
        <v>7</v>
      </c>
      <c r="G36" s="36">
        <v>2876.56</v>
      </c>
      <c r="H36" s="36">
        <v>3508</v>
      </c>
      <c r="I36" s="10">
        <f t="shared" si="0"/>
        <v>20135.919999999998</v>
      </c>
      <c r="J36" s="10">
        <v>24556</v>
      </c>
      <c r="K36" s="11">
        <f t="shared" si="1"/>
        <v>4420.0800000000017</v>
      </c>
      <c r="L36" s="10" t="s">
        <v>343</v>
      </c>
      <c r="M36" s="11" t="s">
        <v>344</v>
      </c>
      <c r="N36" s="11" t="str">
        <f>TEXT(Table1[[#This Row],[Date]],"mmm")</f>
        <v>Feb</v>
      </c>
    </row>
    <row r="37" spans="1:14" x14ac:dyDescent="0.3">
      <c r="A37" s="8" t="s">
        <v>132</v>
      </c>
      <c r="B37" s="9">
        <v>45342</v>
      </c>
      <c r="C37" s="8" t="s">
        <v>31</v>
      </c>
      <c r="D37" s="8" t="s">
        <v>28</v>
      </c>
      <c r="E37" s="8" t="s">
        <v>72</v>
      </c>
      <c r="F37" s="8">
        <v>5</v>
      </c>
      <c r="G37" s="36">
        <v>32358.65</v>
      </c>
      <c r="H37" s="36">
        <v>38069</v>
      </c>
      <c r="I37" s="10">
        <f t="shared" si="0"/>
        <v>161793.25</v>
      </c>
      <c r="J37" s="10">
        <v>190345</v>
      </c>
      <c r="K37" s="11">
        <f t="shared" si="1"/>
        <v>28551.75</v>
      </c>
      <c r="L37" s="10" t="s">
        <v>348</v>
      </c>
      <c r="M37" s="11" t="s">
        <v>367</v>
      </c>
      <c r="N37" s="11" t="str">
        <f>TEXT(Table1[[#This Row],[Date]],"mmm")</f>
        <v>Feb</v>
      </c>
    </row>
    <row r="38" spans="1:14" x14ac:dyDescent="0.3">
      <c r="A38" s="12" t="s">
        <v>179</v>
      </c>
      <c r="B38" s="13">
        <v>45342</v>
      </c>
      <c r="C38" s="12" t="s">
        <v>26</v>
      </c>
      <c r="D38" s="12" t="s">
        <v>20</v>
      </c>
      <c r="E38" s="12" t="s">
        <v>72</v>
      </c>
      <c r="F38" s="12">
        <v>2</v>
      </c>
      <c r="G38" s="35">
        <v>32589</v>
      </c>
      <c r="H38" s="35">
        <v>36210</v>
      </c>
      <c r="I38" s="14">
        <f t="shared" si="0"/>
        <v>65178</v>
      </c>
      <c r="J38" s="14">
        <v>72420</v>
      </c>
      <c r="K38" s="15">
        <f t="shared" si="1"/>
        <v>7242</v>
      </c>
      <c r="L38" s="14" t="s">
        <v>345</v>
      </c>
      <c r="M38" s="15" t="s">
        <v>347</v>
      </c>
      <c r="N38" s="15" t="str">
        <f>TEXT(Table1[[#This Row],[Date]],"mmm")</f>
        <v>Feb</v>
      </c>
    </row>
    <row r="39" spans="1:14" x14ac:dyDescent="0.3">
      <c r="A39" s="8" t="s">
        <v>58</v>
      </c>
      <c r="B39" s="9">
        <v>45343</v>
      </c>
      <c r="C39" s="8" t="s">
        <v>24</v>
      </c>
      <c r="D39" s="8" t="s">
        <v>49</v>
      </c>
      <c r="E39" s="8" t="s">
        <v>73</v>
      </c>
      <c r="F39" s="8">
        <v>3</v>
      </c>
      <c r="G39" s="36">
        <v>23503.5</v>
      </c>
      <c r="H39" s="36">
        <v>26115</v>
      </c>
      <c r="I39" s="10">
        <f>'01.Table'!$G40*'01.Table'!$F40</f>
        <v>53041.979999999996</v>
      </c>
      <c r="J39" s="10">
        <v>78345</v>
      </c>
      <c r="K39" s="11">
        <f>'01.Table'!$J40-'01.Table'!$I40</f>
        <v>10864.020000000004</v>
      </c>
      <c r="L39" s="10" t="s">
        <v>343</v>
      </c>
      <c r="M39" s="11" t="s">
        <v>369</v>
      </c>
      <c r="N39" s="11" t="str">
        <f>TEXT(Table1[[#This Row],[Date]],"mmm")</f>
        <v>Feb</v>
      </c>
    </row>
    <row r="40" spans="1:14" x14ac:dyDescent="0.3">
      <c r="A40" s="8" t="s">
        <v>116</v>
      </c>
      <c r="B40" s="9">
        <v>45344</v>
      </c>
      <c r="C40" s="8" t="s">
        <v>10</v>
      </c>
      <c r="D40" s="8" t="s">
        <v>20</v>
      </c>
      <c r="E40" s="8" t="s">
        <v>72</v>
      </c>
      <c r="F40" s="8">
        <v>2</v>
      </c>
      <c r="G40" s="36">
        <v>26520.989999999998</v>
      </c>
      <c r="H40" s="36">
        <v>31953</v>
      </c>
      <c r="I40" s="10">
        <f t="shared" ref="I40:I54" si="2">F40*G40</f>
        <v>53041.979999999996</v>
      </c>
      <c r="J40" s="10">
        <v>63906</v>
      </c>
      <c r="K40" s="11">
        <f t="shared" ref="K40:K54" si="3">J40-I40</f>
        <v>10864.020000000004</v>
      </c>
      <c r="L40" s="10" t="s">
        <v>343</v>
      </c>
      <c r="M40" s="11" t="s">
        <v>360</v>
      </c>
      <c r="N40" s="11" t="str">
        <f>TEXT(Table1[[#This Row],[Date]],"mmm")</f>
        <v>Feb</v>
      </c>
    </row>
    <row r="41" spans="1:14" x14ac:dyDescent="0.3">
      <c r="A41" s="12" t="s">
        <v>189</v>
      </c>
      <c r="B41" s="13">
        <v>45344</v>
      </c>
      <c r="C41" s="12" t="s">
        <v>35</v>
      </c>
      <c r="D41" s="12" t="s">
        <v>60</v>
      </c>
      <c r="E41" s="12" t="s">
        <v>73</v>
      </c>
      <c r="F41" s="12">
        <v>3</v>
      </c>
      <c r="G41" s="35">
        <v>38984.269999999997</v>
      </c>
      <c r="H41" s="35">
        <v>46969</v>
      </c>
      <c r="I41" s="14">
        <f t="shared" si="2"/>
        <v>116952.81</v>
      </c>
      <c r="J41" s="14">
        <v>140907</v>
      </c>
      <c r="K41" s="15">
        <f t="shared" si="3"/>
        <v>23954.190000000002</v>
      </c>
      <c r="L41" s="14" t="s">
        <v>364</v>
      </c>
      <c r="M41" s="15" t="s">
        <v>371</v>
      </c>
      <c r="N41" s="15" t="str">
        <f>TEXT(Table1[[#This Row],[Date]],"mmm")</f>
        <v>Feb</v>
      </c>
    </row>
    <row r="42" spans="1:14" x14ac:dyDescent="0.3">
      <c r="A42" s="8" t="s">
        <v>174</v>
      </c>
      <c r="B42" s="9">
        <v>45346</v>
      </c>
      <c r="C42" s="8" t="s">
        <v>51</v>
      </c>
      <c r="D42" s="8" t="s">
        <v>4</v>
      </c>
      <c r="E42" s="8" t="s">
        <v>73</v>
      </c>
      <c r="F42" s="8">
        <v>7</v>
      </c>
      <c r="G42" s="36">
        <v>28274.61</v>
      </c>
      <c r="H42" s="36">
        <v>31071</v>
      </c>
      <c r="I42" s="10">
        <f t="shared" si="2"/>
        <v>197922.27000000002</v>
      </c>
      <c r="J42" s="10">
        <v>217497</v>
      </c>
      <c r="K42" s="11">
        <f t="shared" si="3"/>
        <v>19574.729999999981</v>
      </c>
      <c r="L42" s="10" t="s">
        <v>364</v>
      </c>
      <c r="M42" s="11" t="s">
        <v>378</v>
      </c>
      <c r="N42" s="11" t="str">
        <f>TEXT(Table1[[#This Row],[Date]],"mmm")</f>
        <v>Feb</v>
      </c>
    </row>
    <row r="43" spans="1:14" x14ac:dyDescent="0.3">
      <c r="A43" s="8" t="s">
        <v>110</v>
      </c>
      <c r="B43" s="9">
        <v>45348</v>
      </c>
      <c r="C43" s="8" t="s">
        <v>31</v>
      </c>
      <c r="D43" s="8" t="s">
        <v>44</v>
      </c>
      <c r="E43" s="8" t="s">
        <v>73</v>
      </c>
      <c r="F43" s="8">
        <v>2</v>
      </c>
      <c r="G43" s="36">
        <v>43699.08</v>
      </c>
      <c r="H43" s="36">
        <v>47499</v>
      </c>
      <c r="I43" s="10">
        <f t="shared" si="2"/>
        <v>87398.16</v>
      </c>
      <c r="J43" s="10">
        <v>94998</v>
      </c>
      <c r="K43" s="11">
        <f t="shared" si="3"/>
        <v>7599.8399999999965</v>
      </c>
      <c r="L43" s="10" t="s">
        <v>355</v>
      </c>
      <c r="M43" s="11" t="s">
        <v>356</v>
      </c>
      <c r="N43" s="11" t="str">
        <f>TEXT(Table1[[#This Row],[Date]],"mmm")</f>
        <v>Feb</v>
      </c>
    </row>
    <row r="44" spans="1:14" x14ac:dyDescent="0.3">
      <c r="A44" s="8" t="s">
        <v>188</v>
      </c>
      <c r="B44" s="9">
        <v>45348</v>
      </c>
      <c r="C44" s="8" t="s">
        <v>26</v>
      </c>
      <c r="D44" s="8" t="s">
        <v>13</v>
      </c>
      <c r="E44" s="8" t="s">
        <v>72</v>
      </c>
      <c r="F44" s="8">
        <v>3</v>
      </c>
      <c r="G44" s="36">
        <v>17037</v>
      </c>
      <c r="H44" s="36">
        <v>18930</v>
      </c>
      <c r="I44" s="10">
        <f t="shared" si="2"/>
        <v>51111</v>
      </c>
      <c r="J44" s="10">
        <v>56790</v>
      </c>
      <c r="K44" s="11">
        <f t="shared" si="3"/>
        <v>5679</v>
      </c>
      <c r="L44" s="10" t="s">
        <v>343</v>
      </c>
      <c r="M44" s="11" t="s">
        <v>366</v>
      </c>
      <c r="N44" s="11" t="str">
        <f>TEXT(Table1[[#This Row],[Date]],"mmm")</f>
        <v>Feb</v>
      </c>
    </row>
    <row r="45" spans="1:14" x14ac:dyDescent="0.3">
      <c r="A45" s="8" t="s">
        <v>214</v>
      </c>
      <c r="B45" s="9">
        <v>45348</v>
      </c>
      <c r="C45" s="8" t="s">
        <v>35</v>
      </c>
      <c r="D45" s="8" t="s">
        <v>60</v>
      </c>
      <c r="E45" s="8" t="s">
        <v>73</v>
      </c>
      <c r="F45" s="8">
        <v>3</v>
      </c>
      <c r="G45" s="36">
        <v>31798.5</v>
      </c>
      <c r="H45" s="36">
        <v>36975</v>
      </c>
      <c r="I45" s="10">
        <f t="shared" si="2"/>
        <v>95395.5</v>
      </c>
      <c r="J45" s="10">
        <v>110925</v>
      </c>
      <c r="K45" s="11">
        <f t="shared" si="3"/>
        <v>15529.5</v>
      </c>
      <c r="L45" s="10" t="s">
        <v>348</v>
      </c>
      <c r="M45" s="11" t="s">
        <v>373</v>
      </c>
      <c r="N45" s="11" t="str">
        <f>TEXT(Table1[[#This Row],[Date]],"mmm")</f>
        <v>Feb</v>
      </c>
    </row>
    <row r="46" spans="1:14" x14ac:dyDescent="0.3">
      <c r="A46" s="8" t="s">
        <v>316</v>
      </c>
      <c r="B46" s="9">
        <v>45349</v>
      </c>
      <c r="C46" s="8" t="s">
        <v>35</v>
      </c>
      <c r="D46" s="8" t="s">
        <v>44</v>
      </c>
      <c r="E46" s="8" t="s">
        <v>73</v>
      </c>
      <c r="F46" s="8">
        <v>10</v>
      </c>
      <c r="G46" s="36">
        <v>8394.6</v>
      </c>
      <c r="H46" s="36">
        <v>9876</v>
      </c>
      <c r="I46" s="10">
        <f t="shared" si="2"/>
        <v>83946</v>
      </c>
      <c r="J46" s="10">
        <v>98760</v>
      </c>
      <c r="K46" s="11">
        <f t="shared" si="3"/>
        <v>14814</v>
      </c>
      <c r="L46" s="10" t="s">
        <v>351</v>
      </c>
      <c r="M46" s="11" t="s">
        <v>353</v>
      </c>
      <c r="N46" s="11" t="str">
        <f>TEXT(Table1[[#This Row],[Date]],"mmm")</f>
        <v>Feb</v>
      </c>
    </row>
    <row r="47" spans="1:14" x14ac:dyDescent="0.3">
      <c r="A47" s="12" t="s">
        <v>113</v>
      </c>
      <c r="B47" s="13">
        <v>45350</v>
      </c>
      <c r="C47" s="12" t="s">
        <v>24</v>
      </c>
      <c r="D47" s="12" t="s">
        <v>13</v>
      </c>
      <c r="E47" s="12" t="s">
        <v>72</v>
      </c>
      <c r="F47" s="12">
        <v>2</v>
      </c>
      <c r="G47" s="35">
        <v>10383.200000000001</v>
      </c>
      <c r="H47" s="35">
        <v>12979</v>
      </c>
      <c r="I47" s="14">
        <f t="shared" si="2"/>
        <v>20766.400000000001</v>
      </c>
      <c r="J47" s="14">
        <v>25958</v>
      </c>
      <c r="K47" s="15">
        <f t="shared" si="3"/>
        <v>5191.5999999999985</v>
      </c>
      <c r="L47" s="14" t="s">
        <v>343</v>
      </c>
      <c r="M47" s="15" t="s">
        <v>344</v>
      </c>
      <c r="N47" s="15" t="str">
        <f>TEXT(Table1[[#This Row],[Date]],"mmm")</f>
        <v>Feb</v>
      </c>
    </row>
    <row r="48" spans="1:14" x14ac:dyDescent="0.3">
      <c r="A48" s="8" t="s">
        <v>118</v>
      </c>
      <c r="B48" s="9">
        <v>45350</v>
      </c>
      <c r="C48" s="8" t="s">
        <v>24</v>
      </c>
      <c r="D48" s="8" t="s">
        <v>60</v>
      </c>
      <c r="E48" s="8" t="s">
        <v>73</v>
      </c>
      <c r="F48" s="8">
        <v>4</v>
      </c>
      <c r="G48" s="36">
        <v>34990.35</v>
      </c>
      <c r="H48" s="36">
        <v>39315</v>
      </c>
      <c r="I48" s="10">
        <f t="shared" si="2"/>
        <v>139961.4</v>
      </c>
      <c r="J48" s="10">
        <v>157260</v>
      </c>
      <c r="K48" s="11">
        <f t="shared" si="3"/>
        <v>17298.600000000006</v>
      </c>
      <c r="L48" s="10" t="s">
        <v>364</v>
      </c>
      <c r="M48" s="11" t="s">
        <v>382</v>
      </c>
      <c r="N48" s="11" t="str">
        <f>TEXT(Table1[[#This Row],[Date]],"mmm")</f>
        <v>Feb</v>
      </c>
    </row>
    <row r="49" spans="1:14" x14ac:dyDescent="0.3">
      <c r="A49" s="8" t="s">
        <v>296</v>
      </c>
      <c r="B49" s="9">
        <v>45350</v>
      </c>
      <c r="C49" s="8" t="s">
        <v>51</v>
      </c>
      <c r="D49" s="8" t="s">
        <v>4</v>
      </c>
      <c r="E49" s="8" t="s">
        <v>73</v>
      </c>
      <c r="F49" s="8">
        <v>8</v>
      </c>
      <c r="G49" s="36">
        <v>40431.96</v>
      </c>
      <c r="H49" s="36">
        <v>49916</v>
      </c>
      <c r="I49" s="10">
        <f t="shared" si="2"/>
        <v>323455.68</v>
      </c>
      <c r="J49" s="10">
        <v>399328</v>
      </c>
      <c r="K49" s="11">
        <f t="shared" si="3"/>
        <v>75872.320000000007</v>
      </c>
      <c r="L49" s="10" t="s">
        <v>351</v>
      </c>
      <c r="M49" s="11" t="s">
        <v>353</v>
      </c>
      <c r="N49" s="11" t="str">
        <f>TEXT(Table1[[#This Row],[Date]],"mmm")</f>
        <v>Feb</v>
      </c>
    </row>
    <row r="50" spans="1:14" x14ac:dyDescent="0.3">
      <c r="A50" s="12" t="s">
        <v>97</v>
      </c>
      <c r="B50" s="13">
        <v>45351</v>
      </c>
      <c r="C50" s="12" t="s">
        <v>22</v>
      </c>
      <c r="D50" s="12" t="s">
        <v>60</v>
      </c>
      <c r="E50" s="12" t="s">
        <v>72</v>
      </c>
      <c r="F50" s="12">
        <v>5</v>
      </c>
      <c r="G50" s="35">
        <v>28927.360000000001</v>
      </c>
      <c r="H50" s="35">
        <v>32872</v>
      </c>
      <c r="I50" s="14">
        <f t="shared" si="2"/>
        <v>144636.79999999999</v>
      </c>
      <c r="J50" s="14">
        <v>164360</v>
      </c>
      <c r="K50" s="15">
        <f t="shared" si="3"/>
        <v>19723.200000000012</v>
      </c>
      <c r="L50" s="14" t="s">
        <v>364</v>
      </c>
      <c r="M50" s="15" t="s">
        <v>365</v>
      </c>
      <c r="N50" s="15" t="str">
        <f>TEXT(Table1[[#This Row],[Date]],"mmm")</f>
        <v>Feb</v>
      </c>
    </row>
    <row r="51" spans="1:14" x14ac:dyDescent="0.3">
      <c r="A51" s="16" t="s">
        <v>159</v>
      </c>
      <c r="B51" s="17">
        <v>45351</v>
      </c>
      <c r="C51" s="16" t="s">
        <v>35</v>
      </c>
      <c r="D51" s="16" t="s">
        <v>28</v>
      </c>
      <c r="E51" s="19" t="s">
        <v>73</v>
      </c>
      <c r="F51" s="16">
        <v>3</v>
      </c>
      <c r="G51" s="37">
        <v>20670.39</v>
      </c>
      <c r="H51" s="37">
        <v>25519</v>
      </c>
      <c r="I51" s="18">
        <f t="shared" si="2"/>
        <v>62011.17</v>
      </c>
      <c r="J51" s="18">
        <v>76557</v>
      </c>
      <c r="K51" s="20">
        <f t="shared" si="3"/>
        <v>14545.830000000002</v>
      </c>
      <c r="L51" s="18" t="s">
        <v>351</v>
      </c>
      <c r="M51" s="20" t="s">
        <v>353</v>
      </c>
      <c r="N51" s="20" t="str">
        <f>TEXT(Table1[[#This Row],[Date]],"mmm")</f>
        <v>Feb</v>
      </c>
    </row>
    <row r="52" spans="1:14" x14ac:dyDescent="0.3">
      <c r="A52" s="8" t="s">
        <v>314</v>
      </c>
      <c r="B52" s="9">
        <v>45354</v>
      </c>
      <c r="C52" s="8" t="s">
        <v>15</v>
      </c>
      <c r="D52" s="8" t="s">
        <v>13</v>
      </c>
      <c r="E52" s="8" t="s">
        <v>72</v>
      </c>
      <c r="F52" s="8">
        <v>10</v>
      </c>
      <c r="G52" s="36">
        <v>13533.6</v>
      </c>
      <c r="H52" s="36">
        <v>16917</v>
      </c>
      <c r="I52" s="10">
        <f t="shared" si="2"/>
        <v>135336</v>
      </c>
      <c r="J52" s="10">
        <v>169170</v>
      </c>
      <c r="K52" s="11">
        <f t="shared" si="3"/>
        <v>33834</v>
      </c>
      <c r="L52" s="10" t="s">
        <v>345</v>
      </c>
      <c r="M52" s="11" t="s">
        <v>370</v>
      </c>
      <c r="N52" s="11" t="str">
        <f>TEXT(Table1[[#This Row],[Date]],"mmm")</f>
        <v>Mar</v>
      </c>
    </row>
    <row r="53" spans="1:14" x14ac:dyDescent="0.3">
      <c r="A53" s="16" t="s">
        <v>317</v>
      </c>
      <c r="B53" s="17">
        <v>45354</v>
      </c>
      <c r="C53" s="16" t="s">
        <v>6</v>
      </c>
      <c r="D53" s="16" t="s">
        <v>49</v>
      </c>
      <c r="E53" s="19" t="s">
        <v>73</v>
      </c>
      <c r="F53" s="16">
        <v>6</v>
      </c>
      <c r="G53" s="37">
        <v>38695.699999999997</v>
      </c>
      <c r="H53" s="37">
        <v>44995</v>
      </c>
      <c r="I53" s="18">
        <f t="shared" si="2"/>
        <v>232174.19999999998</v>
      </c>
      <c r="J53" s="18">
        <v>269970</v>
      </c>
      <c r="K53" s="20">
        <f t="shared" si="3"/>
        <v>37795.800000000017</v>
      </c>
      <c r="L53" s="18" t="s">
        <v>343</v>
      </c>
      <c r="M53" s="20" t="s">
        <v>344</v>
      </c>
      <c r="N53" s="20" t="str">
        <f>TEXT(Table1[[#This Row],[Date]],"mmm")</f>
        <v>Mar</v>
      </c>
    </row>
    <row r="54" spans="1:14" x14ac:dyDescent="0.3">
      <c r="A54" s="12" t="s">
        <v>195</v>
      </c>
      <c r="B54" s="13">
        <v>45355</v>
      </c>
      <c r="C54" s="12" t="s">
        <v>15</v>
      </c>
      <c r="D54" s="12" t="s">
        <v>4</v>
      </c>
      <c r="E54" s="12" t="s">
        <v>72</v>
      </c>
      <c r="F54" s="12">
        <v>3</v>
      </c>
      <c r="G54" s="35">
        <v>7528.93</v>
      </c>
      <c r="H54" s="35">
        <v>9071</v>
      </c>
      <c r="I54" s="14">
        <f t="shared" si="2"/>
        <v>22586.79</v>
      </c>
      <c r="J54" s="14">
        <v>27213</v>
      </c>
      <c r="K54" s="15">
        <f t="shared" si="3"/>
        <v>4626.2099999999991</v>
      </c>
      <c r="L54" s="14" t="s">
        <v>345</v>
      </c>
      <c r="M54" s="15" t="s">
        <v>350</v>
      </c>
      <c r="N54" s="15" t="str">
        <f>TEXT(Table1[[#This Row],[Date]],"mmm")</f>
        <v>Mar</v>
      </c>
    </row>
    <row r="55" spans="1:14" x14ac:dyDescent="0.3">
      <c r="A55" s="30" t="s">
        <v>67</v>
      </c>
      <c r="B55" s="31">
        <v>45357</v>
      </c>
      <c r="C55" s="30" t="s">
        <v>26</v>
      </c>
      <c r="D55" s="30" t="s">
        <v>60</v>
      </c>
      <c r="E55" s="32" t="s">
        <v>73</v>
      </c>
      <c r="F55" s="30">
        <v>5</v>
      </c>
      <c r="G55" s="38">
        <v>36531</v>
      </c>
      <c r="H55" s="38">
        <v>40590</v>
      </c>
      <c r="I55" s="33">
        <f>'01.Table'!$G48*'01.Table'!$F48</f>
        <v>139961.4</v>
      </c>
      <c r="J55" s="33">
        <v>202950</v>
      </c>
      <c r="K55" s="34">
        <f>'01.Table'!$J48-'01.Table'!$I48</f>
        <v>17298.600000000006</v>
      </c>
      <c r="L55" s="33" t="s">
        <v>348</v>
      </c>
      <c r="M55" s="34" t="s">
        <v>354</v>
      </c>
      <c r="N55" s="34" t="str">
        <f>TEXT(Table1[[#This Row],[Date]],"mmm")</f>
        <v>Mar</v>
      </c>
    </row>
    <row r="56" spans="1:14" x14ac:dyDescent="0.3">
      <c r="A56" s="12" t="s">
        <v>277</v>
      </c>
      <c r="B56" s="13">
        <v>45357</v>
      </c>
      <c r="C56" s="12" t="s">
        <v>26</v>
      </c>
      <c r="D56" s="12" t="s">
        <v>4</v>
      </c>
      <c r="E56" s="12" t="s">
        <v>73</v>
      </c>
      <c r="F56" s="12">
        <v>8</v>
      </c>
      <c r="G56" s="35">
        <v>18575.05</v>
      </c>
      <c r="H56" s="35">
        <v>21853</v>
      </c>
      <c r="I56" s="14">
        <f>F56*G56</f>
        <v>148600.4</v>
      </c>
      <c r="J56" s="14">
        <v>174824</v>
      </c>
      <c r="K56" s="15">
        <f>J56-I56</f>
        <v>26223.600000000006</v>
      </c>
      <c r="L56" s="14" t="s">
        <v>348</v>
      </c>
      <c r="M56" s="15" t="s">
        <v>367</v>
      </c>
      <c r="N56" s="15" t="str">
        <f>TEXT(Table1[[#This Row],[Date]],"mmm")</f>
        <v>Mar</v>
      </c>
    </row>
    <row r="57" spans="1:14" x14ac:dyDescent="0.3">
      <c r="A57" s="30" t="s">
        <v>156</v>
      </c>
      <c r="B57" s="31">
        <v>45358</v>
      </c>
      <c r="C57" s="30" t="s">
        <v>51</v>
      </c>
      <c r="D57" s="30" t="s">
        <v>20</v>
      </c>
      <c r="E57" s="32" t="s">
        <v>72</v>
      </c>
      <c r="F57" s="30">
        <v>3</v>
      </c>
      <c r="G57" s="38">
        <v>4250.12</v>
      </c>
      <c r="H57" s="38">
        <v>4942</v>
      </c>
      <c r="I57" s="33">
        <f>F57*G57</f>
        <v>12750.36</v>
      </c>
      <c r="J57" s="33">
        <v>14826</v>
      </c>
      <c r="K57" s="34">
        <f>J57-I57</f>
        <v>2075.6399999999994</v>
      </c>
      <c r="L57" s="33" t="s">
        <v>355</v>
      </c>
      <c r="M57" s="34" t="s">
        <v>372</v>
      </c>
      <c r="N57" s="34" t="str">
        <f>TEXT(Table1[[#This Row],[Date]],"mmm")</f>
        <v>Mar</v>
      </c>
    </row>
    <row r="58" spans="1:14" x14ac:dyDescent="0.3">
      <c r="A58" s="12" t="s">
        <v>233</v>
      </c>
      <c r="B58" s="13">
        <v>45360</v>
      </c>
      <c r="C58" s="12" t="s">
        <v>26</v>
      </c>
      <c r="D58" s="12" t="s">
        <v>37</v>
      </c>
      <c r="E58" s="12" t="s">
        <v>73</v>
      </c>
      <c r="F58" s="12">
        <v>6</v>
      </c>
      <c r="G58" s="35">
        <v>1926.47</v>
      </c>
      <c r="H58" s="35">
        <v>2117</v>
      </c>
      <c r="I58" s="14">
        <f>F58*G58</f>
        <v>11558.82</v>
      </c>
      <c r="J58" s="14">
        <v>12702</v>
      </c>
      <c r="K58" s="15">
        <f>J58-I58</f>
        <v>1143.1800000000003</v>
      </c>
      <c r="L58" s="14" t="s">
        <v>343</v>
      </c>
      <c r="M58" s="15" t="s">
        <v>381</v>
      </c>
      <c r="N58" s="15" t="str">
        <f>TEXT(Table1[[#This Row],[Date]],"mmm")</f>
        <v>Mar</v>
      </c>
    </row>
    <row r="59" spans="1:14" x14ac:dyDescent="0.3">
      <c r="A59" s="16" t="s">
        <v>319</v>
      </c>
      <c r="B59" s="17">
        <v>45361</v>
      </c>
      <c r="C59" s="16" t="s">
        <v>24</v>
      </c>
      <c r="D59" s="16" t="s">
        <v>44</v>
      </c>
      <c r="E59" s="19" t="s">
        <v>72</v>
      </c>
      <c r="F59" s="16">
        <v>4</v>
      </c>
      <c r="G59" s="37">
        <v>22545.599999999999</v>
      </c>
      <c r="H59" s="37">
        <v>25620</v>
      </c>
      <c r="I59" s="18">
        <f>F59*G59</f>
        <v>90182.399999999994</v>
      </c>
      <c r="J59" s="18">
        <v>102480</v>
      </c>
      <c r="K59" s="20">
        <f>J59-I59</f>
        <v>12297.600000000006</v>
      </c>
      <c r="L59" s="18" t="s">
        <v>355</v>
      </c>
      <c r="M59" s="20" t="s">
        <v>372</v>
      </c>
      <c r="N59" s="20" t="str">
        <f>TEXT(Table1[[#This Row],[Date]],"mmm")</f>
        <v>Mar</v>
      </c>
    </row>
    <row r="60" spans="1:14" x14ac:dyDescent="0.3">
      <c r="A60" s="12" t="s">
        <v>45</v>
      </c>
      <c r="B60" s="13">
        <v>45362</v>
      </c>
      <c r="C60" s="12" t="s">
        <v>15</v>
      </c>
      <c r="D60" s="12" t="s">
        <v>44</v>
      </c>
      <c r="E60" s="12" t="s">
        <v>73</v>
      </c>
      <c r="F60" s="12">
        <v>1</v>
      </c>
      <c r="G60" s="35">
        <v>43800.24</v>
      </c>
      <c r="H60" s="35">
        <v>49773</v>
      </c>
      <c r="I60" s="14">
        <f>'01.Table'!$G29*'01.Table'!$F29</f>
        <v>22516.38</v>
      </c>
      <c r="J60" s="14">
        <v>49773</v>
      </c>
      <c r="K60" s="15">
        <f>'01.Table'!$J29-'01.Table'!$I29</f>
        <v>5281.619999999999</v>
      </c>
      <c r="L60" s="14" t="s">
        <v>364</v>
      </c>
      <c r="M60" s="15" t="s">
        <v>371</v>
      </c>
      <c r="N60" s="15" t="str">
        <f>TEXT(Table1[[#This Row],[Date]],"mmm")</f>
        <v>Mar</v>
      </c>
    </row>
    <row r="61" spans="1:14" x14ac:dyDescent="0.3">
      <c r="A61" s="16" t="s">
        <v>66</v>
      </c>
      <c r="B61" s="17">
        <v>45362</v>
      </c>
      <c r="C61" s="16" t="s">
        <v>6</v>
      </c>
      <c r="D61" s="16" t="s">
        <v>60</v>
      </c>
      <c r="E61" s="19" t="s">
        <v>72</v>
      </c>
      <c r="F61" s="16">
        <v>7</v>
      </c>
      <c r="G61" s="37">
        <v>29657.119999999999</v>
      </c>
      <c r="H61" s="37">
        <v>32236</v>
      </c>
      <c r="I61" s="18">
        <f>'01.Table'!$G47*'01.Table'!$F47</f>
        <v>20766.400000000001</v>
      </c>
      <c r="J61" s="18">
        <v>225652</v>
      </c>
      <c r="K61" s="20">
        <f>'01.Table'!$J47-'01.Table'!$I47</f>
        <v>5191.5999999999985</v>
      </c>
      <c r="L61" s="18" t="s">
        <v>345</v>
      </c>
      <c r="M61" s="20" t="s">
        <v>350</v>
      </c>
      <c r="N61" s="20" t="str">
        <f>TEXT(Table1[[#This Row],[Date]],"mmm")</f>
        <v>Mar</v>
      </c>
    </row>
    <row r="62" spans="1:14" x14ac:dyDescent="0.3">
      <c r="A62" s="12" t="s">
        <v>227</v>
      </c>
      <c r="B62" s="13">
        <v>45362</v>
      </c>
      <c r="C62" s="12" t="s">
        <v>15</v>
      </c>
      <c r="D62" s="12" t="s">
        <v>49</v>
      </c>
      <c r="E62" s="12" t="s">
        <v>72</v>
      </c>
      <c r="F62" s="12">
        <v>7</v>
      </c>
      <c r="G62" s="35">
        <v>33002.97</v>
      </c>
      <c r="H62" s="35">
        <v>36267</v>
      </c>
      <c r="I62" s="14">
        <f t="shared" ref="I62:I69" si="4">F62*G62</f>
        <v>231020.79</v>
      </c>
      <c r="J62" s="14">
        <v>253869</v>
      </c>
      <c r="K62" s="15">
        <f t="shared" ref="K62:K69" si="5">J62-I62</f>
        <v>22848.209999999992</v>
      </c>
      <c r="L62" s="14" t="s">
        <v>348</v>
      </c>
      <c r="M62" s="15" t="s">
        <v>373</v>
      </c>
      <c r="N62" s="15" t="str">
        <f>TEXT(Table1[[#This Row],[Date]],"mmm")</f>
        <v>Mar</v>
      </c>
    </row>
    <row r="63" spans="1:14" x14ac:dyDescent="0.3">
      <c r="A63" s="30" t="s">
        <v>208</v>
      </c>
      <c r="B63" s="31">
        <v>45363</v>
      </c>
      <c r="C63" s="30" t="s">
        <v>6</v>
      </c>
      <c r="D63" s="30" t="s">
        <v>37</v>
      </c>
      <c r="E63" s="32" t="s">
        <v>73</v>
      </c>
      <c r="F63" s="30">
        <v>4</v>
      </c>
      <c r="G63" s="38">
        <v>22304.19</v>
      </c>
      <c r="H63" s="38">
        <v>25637</v>
      </c>
      <c r="I63" s="33">
        <f t="shared" si="4"/>
        <v>89216.76</v>
      </c>
      <c r="J63" s="33">
        <v>102548</v>
      </c>
      <c r="K63" s="34">
        <f t="shared" si="5"/>
        <v>13331.240000000005</v>
      </c>
      <c r="L63" s="33" t="s">
        <v>364</v>
      </c>
      <c r="M63" s="34" t="s">
        <v>368</v>
      </c>
      <c r="N63" s="34" t="str">
        <f>TEXT(Table1[[#This Row],[Date]],"mmm")</f>
        <v>Mar</v>
      </c>
    </row>
    <row r="64" spans="1:14" x14ac:dyDescent="0.3">
      <c r="A64" s="12" t="s">
        <v>339</v>
      </c>
      <c r="B64" s="13">
        <v>45364</v>
      </c>
      <c r="C64" s="12" t="s">
        <v>35</v>
      </c>
      <c r="D64" s="12" t="s">
        <v>37</v>
      </c>
      <c r="E64" s="12" t="s">
        <v>72</v>
      </c>
      <c r="F64" s="12">
        <v>10</v>
      </c>
      <c r="G64" s="35">
        <v>12957.619999999999</v>
      </c>
      <c r="H64" s="35">
        <v>15067</v>
      </c>
      <c r="I64" s="14">
        <f t="shared" si="4"/>
        <v>129576.19999999998</v>
      </c>
      <c r="J64" s="14">
        <v>150670</v>
      </c>
      <c r="K64" s="15">
        <f t="shared" si="5"/>
        <v>21093.800000000017</v>
      </c>
      <c r="L64" s="14" t="s">
        <v>364</v>
      </c>
      <c r="M64" s="15" t="s">
        <v>368</v>
      </c>
      <c r="N64" s="15" t="str">
        <f>TEXT(Table1[[#This Row],[Date]],"mmm")</f>
        <v>Mar</v>
      </c>
    </row>
    <row r="65" spans="1:14" x14ac:dyDescent="0.3">
      <c r="A65" s="16" t="s">
        <v>115</v>
      </c>
      <c r="B65" s="17">
        <v>45365</v>
      </c>
      <c r="C65" s="16" t="s">
        <v>51</v>
      </c>
      <c r="D65" s="16" t="s">
        <v>20</v>
      </c>
      <c r="E65" s="19" t="s">
        <v>73</v>
      </c>
      <c r="F65" s="16">
        <v>3</v>
      </c>
      <c r="G65" s="37">
        <v>8328.32</v>
      </c>
      <c r="H65" s="37">
        <v>9152</v>
      </c>
      <c r="I65" s="18">
        <f t="shared" si="4"/>
        <v>24984.959999999999</v>
      </c>
      <c r="J65" s="18">
        <v>27456</v>
      </c>
      <c r="K65" s="20">
        <f t="shared" si="5"/>
        <v>2471.0400000000009</v>
      </c>
      <c r="L65" s="18" t="s">
        <v>355</v>
      </c>
      <c r="M65" s="20" t="s">
        <v>379</v>
      </c>
      <c r="N65" s="20" t="str">
        <f>TEXT(Table1[[#This Row],[Date]],"mmm")</f>
        <v>Mar</v>
      </c>
    </row>
    <row r="66" spans="1:14" x14ac:dyDescent="0.3">
      <c r="A66" s="12" t="s">
        <v>269</v>
      </c>
      <c r="B66" s="13">
        <v>45366</v>
      </c>
      <c r="C66" s="12" t="s">
        <v>3</v>
      </c>
      <c r="D66" s="12" t="s">
        <v>60</v>
      </c>
      <c r="E66" s="12" t="s">
        <v>72</v>
      </c>
      <c r="F66" s="12">
        <v>3</v>
      </c>
      <c r="G66" s="35">
        <v>31181.879999999997</v>
      </c>
      <c r="H66" s="35">
        <v>36258</v>
      </c>
      <c r="I66" s="14">
        <f t="shared" si="4"/>
        <v>93545.639999999985</v>
      </c>
      <c r="J66" s="14">
        <v>108774</v>
      </c>
      <c r="K66" s="15">
        <f t="shared" si="5"/>
        <v>15228.360000000015</v>
      </c>
      <c r="L66" s="14" t="s">
        <v>348</v>
      </c>
      <c r="M66" s="15" t="s">
        <v>373</v>
      </c>
      <c r="N66" s="15" t="str">
        <f>TEXT(Table1[[#This Row],[Date]],"mmm")</f>
        <v>Mar</v>
      </c>
    </row>
    <row r="67" spans="1:14" x14ac:dyDescent="0.3">
      <c r="A67" s="30" t="s">
        <v>288</v>
      </c>
      <c r="B67" s="31">
        <v>45366</v>
      </c>
      <c r="C67" s="30" t="s">
        <v>35</v>
      </c>
      <c r="D67" s="30" t="s">
        <v>37</v>
      </c>
      <c r="E67" s="32" t="s">
        <v>73</v>
      </c>
      <c r="F67" s="30">
        <v>7</v>
      </c>
      <c r="G67" s="38">
        <v>2070.4</v>
      </c>
      <c r="H67" s="38">
        <v>2588</v>
      </c>
      <c r="I67" s="33">
        <f t="shared" si="4"/>
        <v>14492.800000000001</v>
      </c>
      <c r="J67" s="33">
        <v>18116</v>
      </c>
      <c r="K67" s="34">
        <f t="shared" si="5"/>
        <v>3623.1999999999989</v>
      </c>
      <c r="L67" s="33" t="s">
        <v>355</v>
      </c>
      <c r="M67" s="34" t="s">
        <v>379</v>
      </c>
      <c r="N67" s="34" t="str">
        <f>TEXT(Table1[[#This Row],[Date]],"mmm")</f>
        <v>Mar</v>
      </c>
    </row>
    <row r="68" spans="1:14" x14ac:dyDescent="0.3">
      <c r="A68" s="12" t="s">
        <v>133</v>
      </c>
      <c r="B68" s="13">
        <v>45367</v>
      </c>
      <c r="C68" s="12" t="s">
        <v>6</v>
      </c>
      <c r="D68" s="12" t="s">
        <v>13</v>
      </c>
      <c r="E68" s="12" t="s">
        <v>73</v>
      </c>
      <c r="F68" s="12">
        <v>7</v>
      </c>
      <c r="G68" s="35">
        <v>13947.2</v>
      </c>
      <c r="H68" s="35">
        <v>15160</v>
      </c>
      <c r="I68" s="14">
        <f t="shared" si="4"/>
        <v>97630.400000000009</v>
      </c>
      <c r="J68" s="14">
        <v>106120</v>
      </c>
      <c r="K68" s="15">
        <f t="shared" si="5"/>
        <v>8489.5999999999913</v>
      </c>
      <c r="L68" s="14" t="s">
        <v>355</v>
      </c>
      <c r="M68" s="15" t="s">
        <v>356</v>
      </c>
      <c r="N68" s="15" t="str">
        <f>TEXT(Table1[[#This Row],[Date]],"mmm")</f>
        <v>Mar</v>
      </c>
    </row>
    <row r="69" spans="1:14" x14ac:dyDescent="0.3">
      <c r="A69" s="30" t="s">
        <v>268</v>
      </c>
      <c r="B69" s="31">
        <v>45368</v>
      </c>
      <c r="C69" s="30" t="s">
        <v>15</v>
      </c>
      <c r="D69" s="30" t="s">
        <v>28</v>
      </c>
      <c r="E69" s="32" t="s">
        <v>72</v>
      </c>
      <c r="F69" s="30">
        <v>9</v>
      </c>
      <c r="G69" s="38">
        <v>24146.54</v>
      </c>
      <c r="H69" s="38">
        <v>29447</v>
      </c>
      <c r="I69" s="33">
        <f t="shared" si="4"/>
        <v>217318.86000000002</v>
      </c>
      <c r="J69" s="33">
        <v>265023</v>
      </c>
      <c r="K69" s="34">
        <f t="shared" si="5"/>
        <v>47704.139999999985</v>
      </c>
      <c r="L69" s="33" t="s">
        <v>355</v>
      </c>
      <c r="M69" s="34" t="s">
        <v>372</v>
      </c>
      <c r="N69" s="34" t="str">
        <f>TEXT(Table1[[#This Row],[Date]],"mmm")</f>
        <v>Mar</v>
      </c>
    </row>
    <row r="70" spans="1:14" x14ac:dyDescent="0.3">
      <c r="A70" s="12" t="s">
        <v>40</v>
      </c>
      <c r="B70" s="13">
        <v>45370</v>
      </c>
      <c r="C70" s="12" t="s">
        <v>10</v>
      </c>
      <c r="D70" s="12" t="s">
        <v>37</v>
      </c>
      <c r="E70" s="12" t="s">
        <v>73</v>
      </c>
      <c r="F70" s="12">
        <v>7</v>
      </c>
      <c r="G70" s="35">
        <v>22979.040000000001</v>
      </c>
      <c r="H70" s="35">
        <v>27356</v>
      </c>
      <c r="I70" s="14">
        <f>'01.Table'!$G25*'01.Table'!$F25</f>
        <v>66889.040000000008</v>
      </c>
      <c r="J70" s="14">
        <v>191492</v>
      </c>
      <c r="K70" s="15">
        <f>'01.Table'!$J25-'01.Table'!$I25</f>
        <v>-146076.88</v>
      </c>
      <c r="L70" s="14" t="s">
        <v>343</v>
      </c>
      <c r="M70" s="15" t="s">
        <v>369</v>
      </c>
      <c r="N70" s="15" t="str">
        <f>TEXT(Table1[[#This Row],[Date]],"mmm")</f>
        <v>Mar</v>
      </c>
    </row>
    <row r="71" spans="1:14" x14ac:dyDescent="0.3">
      <c r="A71" s="16" t="s">
        <v>165</v>
      </c>
      <c r="B71" s="17">
        <v>45372</v>
      </c>
      <c r="C71" s="16" t="s">
        <v>10</v>
      </c>
      <c r="D71" s="16" t="s">
        <v>44</v>
      </c>
      <c r="E71" s="19" t="s">
        <v>73</v>
      </c>
      <c r="F71" s="16">
        <v>1</v>
      </c>
      <c r="G71" s="37">
        <v>18895.2</v>
      </c>
      <c r="H71" s="37">
        <v>23619</v>
      </c>
      <c r="I71" s="18">
        <f t="shared" ref="I71:I79" si="6">F71*G71</f>
        <v>18895.2</v>
      </c>
      <c r="J71" s="18">
        <v>23619</v>
      </c>
      <c r="K71" s="20">
        <f t="shared" ref="K71:K79" si="7">J71-I71</f>
        <v>4723.7999999999993</v>
      </c>
      <c r="L71" s="18" t="s">
        <v>348</v>
      </c>
      <c r="M71" s="20" t="s">
        <v>373</v>
      </c>
      <c r="N71" s="20" t="str">
        <f>TEXT(Table1[[#This Row],[Date]],"mmm")</f>
        <v>Mar</v>
      </c>
    </row>
    <row r="72" spans="1:14" x14ac:dyDescent="0.3">
      <c r="A72" s="8" t="s">
        <v>98</v>
      </c>
      <c r="B72" s="9">
        <v>45373</v>
      </c>
      <c r="C72" s="8" t="s">
        <v>31</v>
      </c>
      <c r="D72" s="8" t="s">
        <v>49</v>
      </c>
      <c r="E72" s="8" t="s">
        <v>73</v>
      </c>
      <c r="F72" s="8">
        <v>9</v>
      </c>
      <c r="G72" s="36">
        <v>4181.6000000000004</v>
      </c>
      <c r="H72" s="36">
        <v>5227</v>
      </c>
      <c r="I72" s="10">
        <f t="shared" si="6"/>
        <v>37634.400000000001</v>
      </c>
      <c r="J72" s="10">
        <v>47043</v>
      </c>
      <c r="K72" s="11">
        <f t="shared" si="7"/>
        <v>9408.5999999999985</v>
      </c>
      <c r="L72" s="10" t="s">
        <v>343</v>
      </c>
      <c r="M72" s="11" t="s">
        <v>369</v>
      </c>
      <c r="N72" s="11" t="str">
        <f>TEXT(Table1[[#This Row],[Date]],"mmm")</f>
        <v>Mar</v>
      </c>
    </row>
    <row r="73" spans="1:14" x14ac:dyDescent="0.3">
      <c r="A73" s="30" t="s">
        <v>336</v>
      </c>
      <c r="B73" s="31">
        <v>45374</v>
      </c>
      <c r="C73" s="30" t="s">
        <v>31</v>
      </c>
      <c r="D73" s="30" t="s">
        <v>49</v>
      </c>
      <c r="E73" s="32" t="s">
        <v>72</v>
      </c>
      <c r="F73" s="30">
        <v>3</v>
      </c>
      <c r="G73" s="38">
        <v>41386.199999999997</v>
      </c>
      <c r="H73" s="38">
        <v>44985</v>
      </c>
      <c r="I73" s="33">
        <f t="shared" si="6"/>
        <v>124158.59999999999</v>
      </c>
      <c r="J73" s="33">
        <v>134955</v>
      </c>
      <c r="K73" s="34">
        <f t="shared" si="7"/>
        <v>10796.400000000009</v>
      </c>
      <c r="L73" s="33" t="s">
        <v>345</v>
      </c>
      <c r="M73" s="34" t="s">
        <v>370</v>
      </c>
      <c r="N73" s="34" t="str">
        <f>TEXT(Table1[[#This Row],[Date]],"mmm")</f>
        <v>Mar</v>
      </c>
    </row>
    <row r="74" spans="1:14" x14ac:dyDescent="0.3">
      <c r="A74" s="8" t="s">
        <v>310</v>
      </c>
      <c r="B74" s="9">
        <v>45376</v>
      </c>
      <c r="C74" s="8" t="s">
        <v>6</v>
      </c>
      <c r="D74" s="8" t="s">
        <v>20</v>
      </c>
      <c r="E74" s="8" t="s">
        <v>72</v>
      </c>
      <c r="F74" s="8">
        <v>2</v>
      </c>
      <c r="G74" s="36">
        <v>45203.28</v>
      </c>
      <c r="H74" s="36">
        <v>49134</v>
      </c>
      <c r="I74" s="10">
        <f t="shared" si="6"/>
        <v>90406.56</v>
      </c>
      <c r="J74" s="10">
        <v>98268</v>
      </c>
      <c r="K74" s="11">
        <f t="shared" si="7"/>
        <v>7861.4400000000023</v>
      </c>
      <c r="L74" s="10" t="s">
        <v>355</v>
      </c>
      <c r="M74" s="11" t="s">
        <v>372</v>
      </c>
      <c r="N74" s="11" t="str">
        <f>TEXT(Table1[[#This Row],[Date]],"mmm")</f>
        <v>Mar</v>
      </c>
    </row>
    <row r="75" spans="1:14" x14ac:dyDescent="0.3">
      <c r="A75" s="16" t="s">
        <v>201</v>
      </c>
      <c r="B75" s="17">
        <v>45378</v>
      </c>
      <c r="C75" s="16" t="s">
        <v>24</v>
      </c>
      <c r="D75" s="16" t="s">
        <v>20</v>
      </c>
      <c r="E75" s="19" t="s">
        <v>72</v>
      </c>
      <c r="F75" s="16">
        <v>6</v>
      </c>
      <c r="G75" s="37">
        <v>35053.839999999997</v>
      </c>
      <c r="H75" s="37">
        <v>38102</v>
      </c>
      <c r="I75" s="18">
        <f t="shared" si="6"/>
        <v>210323.03999999998</v>
      </c>
      <c r="J75" s="18">
        <v>228612</v>
      </c>
      <c r="K75" s="20">
        <f t="shared" si="7"/>
        <v>18288.960000000021</v>
      </c>
      <c r="L75" s="18" t="s">
        <v>345</v>
      </c>
      <c r="M75" s="20" t="s">
        <v>347</v>
      </c>
      <c r="N75" s="20" t="str">
        <f>TEXT(Table1[[#This Row],[Date]],"mmm")</f>
        <v>Mar</v>
      </c>
    </row>
    <row r="76" spans="1:14" x14ac:dyDescent="0.3">
      <c r="A76" s="8" t="s">
        <v>122</v>
      </c>
      <c r="B76" s="9">
        <v>45379</v>
      </c>
      <c r="C76" s="8" t="s">
        <v>8</v>
      </c>
      <c r="D76" s="8" t="s">
        <v>49</v>
      </c>
      <c r="E76" s="8" t="s">
        <v>73</v>
      </c>
      <c r="F76" s="8">
        <v>8</v>
      </c>
      <c r="G76" s="36">
        <v>35734.720000000001</v>
      </c>
      <c r="H76" s="36">
        <v>41552</v>
      </c>
      <c r="I76" s="10">
        <f t="shared" si="6"/>
        <v>285877.76000000001</v>
      </c>
      <c r="J76" s="10">
        <v>332416</v>
      </c>
      <c r="K76" s="11">
        <f t="shared" si="7"/>
        <v>46538.239999999991</v>
      </c>
      <c r="L76" s="10" t="s">
        <v>351</v>
      </c>
      <c r="M76" s="11" t="s">
        <v>380</v>
      </c>
      <c r="N76" s="11" t="str">
        <f>TEXT(Table1[[#This Row],[Date]],"mmm")</f>
        <v>Mar</v>
      </c>
    </row>
    <row r="77" spans="1:14" x14ac:dyDescent="0.3">
      <c r="A77" s="16" t="s">
        <v>161</v>
      </c>
      <c r="B77" s="17">
        <v>45379</v>
      </c>
      <c r="C77" s="16" t="s">
        <v>8</v>
      </c>
      <c r="D77" s="16" t="s">
        <v>49</v>
      </c>
      <c r="E77" s="19" t="s">
        <v>72</v>
      </c>
      <c r="F77" s="16">
        <v>6</v>
      </c>
      <c r="G77" s="37">
        <v>11215.72</v>
      </c>
      <c r="H77" s="37">
        <v>12191</v>
      </c>
      <c r="I77" s="18">
        <f t="shared" si="6"/>
        <v>67294.319999999992</v>
      </c>
      <c r="J77" s="18">
        <v>73146</v>
      </c>
      <c r="K77" s="20">
        <f t="shared" si="7"/>
        <v>5851.6800000000076</v>
      </c>
      <c r="L77" s="18" t="s">
        <v>343</v>
      </c>
      <c r="M77" s="20" t="s">
        <v>369</v>
      </c>
      <c r="N77" s="20" t="str">
        <f>TEXT(Table1[[#This Row],[Date]],"mmm")</f>
        <v>Mar</v>
      </c>
    </row>
    <row r="78" spans="1:14" x14ac:dyDescent="0.3">
      <c r="A78" s="12" t="s">
        <v>263</v>
      </c>
      <c r="B78" s="13">
        <v>45380</v>
      </c>
      <c r="C78" s="12" t="s">
        <v>24</v>
      </c>
      <c r="D78" s="12" t="s">
        <v>28</v>
      </c>
      <c r="E78" s="12" t="s">
        <v>73</v>
      </c>
      <c r="F78" s="12">
        <v>5</v>
      </c>
      <c r="G78" s="35">
        <v>6798.6</v>
      </c>
      <c r="H78" s="35">
        <v>7554</v>
      </c>
      <c r="I78" s="14">
        <f t="shared" si="6"/>
        <v>33993</v>
      </c>
      <c r="J78" s="14">
        <v>37770</v>
      </c>
      <c r="K78" s="15">
        <f t="shared" si="7"/>
        <v>3777</v>
      </c>
      <c r="L78" s="14" t="s">
        <v>345</v>
      </c>
      <c r="M78" s="15" t="s">
        <v>346</v>
      </c>
      <c r="N78" s="15" t="str">
        <f>TEXT(Table1[[#This Row],[Date]],"mmm")</f>
        <v>Mar</v>
      </c>
    </row>
    <row r="79" spans="1:14" x14ac:dyDescent="0.3">
      <c r="A79" s="30" t="s">
        <v>200</v>
      </c>
      <c r="B79" s="31">
        <v>45381</v>
      </c>
      <c r="C79" s="30" t="s">
        <v>6</v>
      </c>
      <c r="D79" s="30" t="s">
        <v>60</v>
      </c>
      <c r="E79" s="32" t="s">
        <v>72</v>
      </c>
      <c r="F79" s="30">
        <v>7</v>
      </c>
      <c r="G79" s="38">
        <v>11124.96</v>
      </c>
      <c r="H79" s="38">
        <v>12936</v>
      </c>
      <c r="I79" s="33">
        <f t="shared" si="6"/>
        <v>77874.720000000001</v>
      </c>
      <c r="J79" s="33">
        <v>90552</v>
      </c>
      <c r="K79" s="34">
        <f t="shared" si="7"/>
        <v>12677.279999999999</v>
      </c>
      <c r="L79" s="33" t="s">
        <v>351</v>
      </c>
      <c r="M79" s="34" t="s">
        <v>380</v>
      </c>
      <c r="N79" s="34" t="str">
        <f>TEXT(Table1[[#This Row],[Date]],"mmm")</f>
        <v>Mar</v>
      </c>
    </row>
    <row r="80" spans="1:14" x14ac:dyDescent="0.3">
      <c r="A80" s="8" t="s">
        <v>41</v>
      </c>
      <c r="B80" s="9">
        <v>45382</v>
      </c>
      <c r="C80" s="8" t="s">
        <v>31</v>
      </c>
      <c r="D80" s="8" t="s">
        <v>37</v>
      </c>
      <c r="E80" s="8" t="s">
        <v>72</v>
      </c>
      <c r="F80" s="8">
        <v>4</v>
      </c>
      <c r="G80" s="36">
        <v>26208</v>
      </c>
      <c r="H80" s="36">
        <v>29120</v>
      </c>
      <c r="I80" s="10">
        <f>'01.Table'!$G26*'01.Table'!$F26</f>
        <v>197850.56</v>
      </c>
      <c r="J80" s="10">
        <v>116480</v>
      </c>
      <c r="K80" s="11">
        <f>'01.Table'!$J26-'01.Table'!$I26</f>
        <v>24453.440000000002</v>
      </c>
      <c r="L80" s="10" t="s">
        <v>345</v>
      </c>
      <c r="M80" s="11" t="s">
        <v>370</v>
      </c>
      <c r="N80" s="11" t="str">
        <f>TEXT(Table1[[#This Row],[Date]],"mmm")</f>
        <v>Mar</v>
      </c>
    </row>
    <row r="81" spans="1:14" x14ac:dyDescent="0.3">
      <c r="A81" s="16" t="s">
        <v>281</v>
      </c>
      <c r="B81" s="17">
        <v>45382</v>
      </c>
      <c r="C81" s="16" t="s">
        <v>22</v>
      </c>
      <c r="D81" s="16" t="s">
        <v>20</v>
      </c>
      <c r="E81" s="19" t="s">
        <v>73</v>
      </c>
      <c r="F81" s="16">
        <v>4</v>
      </c>
      <c r="G81" s="37">
        <v>7439.4</v>
      </c>
      <c r="H81" s="37">
        <v>8266</v>
      </c>
      <c r="I81" s="18">
        <f>F81*G81</f>
        <v>29757.599999999999</v>
      </c>
      <c r="J81" s="18">
        <v>33064</v>
      </c>
      <c r="K81" s="20">
        <f>J81-I81</f>
        <v>3306.4000000000015</v>
      </c>
      <c r="L81" s="18" t="s">
        <v>364</v>
      </c>
      <c r="M81" s="20" t="s">
        <v>371</v>
      </c>
      <c r="N81" s="20" t="str">
        <f>TEXT(Table1[[#This Row],[Date]],"mmm")</f>
        <v>Mar</v>
      </c>
    </row>
    <row r="82" spans="1:14" x14ac:dyDescent="0.3">
      <c r="A82" s="12" t="s">
        <v>155</v>
      </c>
      <c r="B82" s="13">
        <v>45384</v>
      </c>
      <c r="C82" s="12" t="s">
        <v>6</v>
      </c>
      <c r="D82" s="12" t="s">
        <v>37</v>
      </c>
      <c r="E82" s="12" t="s">
        <v>72</v>
      </c>
      <c r="F82" s="12">
        <v>4</v>
      </c>
      <c r="G82" s="35">
        <v>6825.91</v>
      </c>
      <c r="H82" s="35">
        <v>7501</v>
      </c>
      <c r="I82" s="14">
        <f>F82*G82</f>
        <v>27303.64</v>
      </c>
      <c r="J82" s="14">
        <v>30004</v>
      </c>
      <c r="K82" s="15">
        <f>J82-I82</f>
        <v>2700.3600000000006</v>
      </c>
      <c r="L82" s="14" t="s">
        <v>355</v>
      </c>
      <c r="M82" s="15" t="s">
        <v>379</v>
      </c>
      <c r="N82" s="15" t="str">
        <f>TEXT(Table1[[#This Row],[Date]],"mmm")</f>
        <v>Apr</v>
      </c>
    </row>
    <row r="83" spans="1:14" x14ac:dyDescent="0.3">
      <c r="A83" s="30" t="s">
        <v>234</v>
      </c>
      <c r="B83" s="31">
        <v>45385</v>
      </c>
      <c r="C83" s="30" t="s">
        <v>3</v>
      </c>
      <c r="D83" s="30" t="s">
        <v>49</v>
      </c>
      <c r="E83" s="32" t="s">
        <v>73</v>
      </c>
      <c r="F83" s="30">
        <v>2</v>
      </c>
      <c r="G83" s="38">
        <v>21974.36</v>
      </c>
      <c r="H83" s="38">
        <v>26798</v>
      </c>
      <c r="I83" s="33">
        <f>F83*G83</f>
        <v>43948.72</v>
      </c>
      <c r="J83" s="33">
        <v>53596</v>
      </c>
      <c r="K83" s="34">
        <f>J83-I83</f>
        <v>9647.2799999999988</v>
      </c>
      <c r="L83" s="33" t="s">
        <v>351</v>
      </c>
      <c r="M83" s="34" t="s">
        <v>352</v>
      </c>
      <c r="N83" s="34" t="str">
        <f>TEXT(Table1[[#This Row],[Date]],"mmm")</f>
        <v>Apr</v>
      </c>
    </row>
    <row r="84" spans="1:14" x14ac:dyDescent="0.3">
      <c r="A84" s="12" t="s">
        <v>99</v>
      </c>
      <c r="B84" s="13">
        <v>45386</v>
      </c>
      <c r="C84" s="12" t="s">
        <v>22</v>
      </c>
      <c r="D84" s="12" t="s">
        <v>44</v>
      </c>
      <c r="E84" s="12" t="s">
        <v>73</v>
      </c>
      <c r="F84" s="12">
        <v>5</v>
      </c>
      <c r="G84" s="35">
        <v>18589.599999999999</v>
      </c>
      <c r="H84" s="35">
        <v>23237</v>
      </c>
      <c r="I84" s="14">
        <f>F84*G84</f>
        <v>92948</v>
      </c>
      <c r="J84" s="14">
        <v>116185</v>
      </c>
      <c r="K84" s="15">
        <f>J84-I84</f>
        <v>23237</v>
      </c>
      <c r="L84" s="14" t="s">
        <v>364</v>
      </c>
      <c r="M84" s="15" t="s">
        <v>378</v>
      </c>
      <c r="N84" s="15" t="str">
        <f>TEXT(Table1[[#This Row],[Date]],"mmm")</f>
        <v>Apr</v>
      </c>
    </row>
    <row r="85" spans="1:14" x14ac:dyDescent="0.3">
      <c r="A85" s="16" t="s">
        <v>70</v>
      </c>
      <c r="B85" s="17">
        <v>45389</v>
      </c>
      <c r="C85" s="16" t="s">
        <v>10</v>
      </c>
      <c r="D85" s="16" t="s">
        <v>60</v>
      </c>
      <c r="E85" s="19" t="s">
        <v>72</v>
      </c>
      <c r="F85" s="16">
        <v>9</v>
      </c>
      <c r="G85" s="37">
        <v>35264</v>
      </c>
      <c r="H85" s="37">
        <v>44080</v>
      </c>
      <c r="I85" s="18">
        <f>'01.Table'!$G51*'01.Table'!$F51</f>
        <v>62011.17</v>
      </c>
      <c r="J85" s="18">
        <v>396720</v>
      </c>
      <c r="K85" s="20">
        <f>'01.Table'!$J51-'01.Table'!$I51</f>
        <v>14545.830000000002</v>
      </c>
      <c r="L85" s="18" t="s">
        <v>355</v>
      </c>
      <c r="M85" s="20" t="s">
        <v>363</v>
      </c>
      <c r="N85" s="20" t="str">
        <f>TEXT(Table1[[#This Row],[Date]],"mmm")</f>
        <v>Apr</v>
      </c>
    </row>
    <row r="86" spans="1:14" x14ac:dyDescent="0.3">
      <c r="A86" s="12" t="s">
        <v>129</v>
      </c>
      <c r="B86" s="13">
        <v>45389</v>
      </c>
      <c r="C86" s="12" t="s">
        <v>24</v>
      </c>
      <c r="D86" s="12" t="s">
        <v>13</v>
      </c>
      <c r="E86" s="12" t="s">
        <v>73</v>
      </c>
      <c r="F86" s="12">
        <v>3</v>
      </c>
      <c r="G86" s="35">
        <v>40086.479999999996</v>
      </c>
      <c r="H86" s="35">
        <v>47722</v>
      </c>
      <c r="I86" s="14">
        <f>F86*G86</f>
        <v>120259.43999999999</v>
      </c>
      <c r="J86" s="14">
        <v>143166</v>
      </c>
      <c r="K86" s="15">
        <f>J86-I86</f>
        <v>22906.560000000012</v>
      </c>
      <c r="L86" s="14" t="s">
        <v>343</v>
      </c>
      <c r="M86" s="15" t="s">
        <v>360</v>
      </c>
      <c r="N86" s="15" t="str">
        <f>TEXT(Table1[[#This Row],[Date]],"mmm")</f>
        <v>Apr</v>
      </c>
    </row>
    <row r="87" spans="1:14" x14ac:dyDescent="0.3">
      <c r="A87" s="30" t="s">
        <v>298</v>
      </c>
      <c r="B87" s="31">
        <v>45390</v>
      </c>
      <c r="C87" s="30" t="s">
        <v>3</v>
      </c>
      <c r="D87" s="30" t="s">
        <v>37</v>
      </c>
      <c r="E87" s="32" t="s">
        <v>73</v>
      </c>
      <c r="F87" s="30">
        <v>8</v>
      </c>
      <c r="G87" s="38">
        <v>12060.9</v>
      </c>
      <c r="H87" s="38">
        <v>14890</v>
      </c>
      <c r="I87" s="33">
        <f>F87*G87</f>
        <v>96487.2</v>
      </c>
      <c r="J87" s="33">
        <v>119120</v>
      </c>
      <c r="K87" s="34">
        <f>J87-I87</f>
        <v>22632.800000000003</v>
      </c>
      <c r="L87" s="33" t="s">
        <v>348</v>
      </c>
      <c r="M87" s="34" t="s">
        <v>367</v>
      </c>
      <c r="N87" s="34" t="str">
        <f>TEXT(Table1[[#This Row],[Date]],"mmm")</f>
        <v>Apr</v>
      </c>
    </row>
    <row r="88" spans="1:14" x14ac:dyDescent="0.3">
      <c r="A88" s="8" t="s">
        <v>232</v>
      </c>
      <c r="B88" s="9">
        <v>45391</v>
      </c>
      <c r="C88" s="8" t="s">
        <v>3</v>
      </c>
      <c r="D88" s="8" t="s">
        <v>4</v>
      </c>
      <c r="E88" s="8" t="s">
        <v>72</v>
      </c>
      <c r="F88" s="8">
        <v>7</v>
      </c>
      <c r="G88" s="36">
        <v>11119.68</v>
      </c>
      <c r="H88" s="36">
        <v>12636</v>
      </c>
      <c r="I88" s="10">
        <f>F88*G88</f>
        <v>77837.760000000009</v>
      </c>
      <c r="J88" s="10">
        <v>88452</v>
      </c>
      <c r="K88" s="11">
        <f>J88-I88</f>
        <v>10614.239999999991</v>
      </c>
      <c r="L88" s="10" t="s">
        <v>351</v>
      </c>
      <c r="M88" s="11" t="s">
        <v>352</v>
      </c>
      <c r="N88" s="11" t="str">
        <f>TEXT(Table1[[#This Row],[Date]],"mmm")</f>
        <v>Apr</v>
      </c>
    </row>
    <row r="89" spans="1:14" x14ac:dyDescent="0.3">
      <c r="A89" s="30" t="s">
        <v>2</v>
      </c>
      <c r="B89" s="31">
        <v>45392</v>
      </c>
      <c r="C89" s="30" t="s">
        <v>3</v>
      </c>
      <c r="D89" s="30" t="s">
        <v>4</v>
      </c>
      <c r="E89" s="32" t="s">
        <v>73</v>
      </c>
      <c r="F89" s="30">
        <v>1</v>
      </c>
      <c r="G89" s="38">
        <v>32454.7</v>
      </c>
      <c r="H89" s="38">
        <v>38182</v>
      </c>
      <c r="I89" s="33">
        <f>'01.Table'!$G2*'01.Table'!$F2</f>
        <v>61317</v>
      </c>
      <c r="J89" s="33">
        <v>38182</v>
      </c>
      <c r="K89" s="34">
        <f>'01.Table'!$J2-'01.Table'!$I2</f>
        <v>14383</v>
      </c>
      <c r="L89" s="33" t="s">
        <v>343</v>
      </c>
      <c r="M89" s="34" t="s">
        <v>344</v>
      </c>
      <c r="N89" s="34" t="str">
        <f>TEXT(Table1[[#This Row],[Date]],"mmm")</f>
        <v>Apr</v>
      </c>
    </row>
    <row r="90" spans="1:14" x14ac:dyDescent="0.3">
      <c r="A90" s="12" t="s">
        <v>169</v>
      </c>
      <c r="B90" s="13">
        <v>45393</v>
      </c>
      <c r="C90" s="12" t="s">
        <v>6</v>
      </c>
      <c r="D90" s="12" t="s">
        <v>20</v>
      </c>
      <c r="E90" s="12" t="s">
        <v>72</v>
      </c>
      <c r="F90" s="12">
        <v>4</v>
      </c>
      <c r="G90" s="35">
        <v>13546.72</v>
      </c>
      <c r="H90" s="35">
        <v>15394</v>
      </c>
      <c r="I90" s="14">
        <f t="shared" ref="I90:I96" si="8">F90*G90</f>
        <v>54186.879999999997</v>
      </c>
      <c r="J90" s="14">
        <v>61576</v>
      </c>
      <c r="K90" s="15">
        <f t="shared" ref="K90:K96" si="9">J90-I90</f>
        <v>7389.1200000000026</v>
      </c>
      <c r="L90" s="14" t="s">
        <v>348</v>
      </c>
      <c r="M90" s="15" t="s">
        <v>384</v>
      </c>
      <c r="N90" s="15" t="str">
        <f>TEXT(Table1[[#This Row],[Date]],"mmm")</f>
        <v>Apr</v>
      </c>
    </row>
    <row r="91" spans="1:14" x14ac:dyDescent="0.3">
      <c r="A91" s="30" t="s">
        <v>220</v>
      </c>
      <c r="B91" s="31">
        <v>45394</v>
      </c>
      <c r="C91" s="30" t="s">
        <v>10</v>
      </c>
      <c r="D91" s="30" t="s">
        <v>4</v>
      </c>
      <c r="E91" s="32" t="s">
        <v>72</v>
      </c>
      <c r="F91" s="30">
        <v>5</v>
      </c>
      <c r="G91" s="38">
        <v>38295.839999999997</v>
      </c>
      <c r="H91" s="38">
        <v>43518</v>
      </c>
      <c r="I91" s="33">
        <f t="shared" si="8"/>
        <v>191479.19999999998</v>
      </c>
      <c r="J91" s="33">
        <v>217590</v>
      </c>
      <c r="K91" s="34">
        <f t="shared" si="9"/>
        <v>26110.800000000017</v>
      </c>
      <c r="L91" s="33" t="s">
        <v>355</v>
      </c>
      <c r="M91" s="34" t="s">
        <v>372</v>
      </c>
      <c r="N91" s="34" t="str">
        <f>TEXT(Table1[[#This Row],[Date]],"mmm")</f>
        <v>Apr</v>
      </c>
    </row>
    <row r="92" spans="1:14" x14ac:dyDescent="0.3">
      <c r="A92" s="12" t="s">
        <v>223</v>
      </c>
      <c r="B92" s="13">
        <v>45398</v>
      </c>
      <c r="C92" s="12" t="s">
        <v>10</v>
      </c>
      <c r="D92" s="12" t="s">
        <v>60</v>
      </c>
      <c r="E92" s="12" t="s">
        <v>73</v>
      </c>
      <c r="F92" s="12">
        <v>8</v>
      </c>
      <c r="G92" s="35">
        <v>12413.7</v>
      </c>
      <c r="H92" s="35">
        <v>13793</v>
      </c>
      <c r="I92" s="14">
        <f t="shared" si="8"/>
        <v>99309.6</v>
      </c>
      <c r="J92" s="14">
        <v>110344</v>
      </c>
      <c r="K92" s="15">
        <f t="shared" si="9"/>
        <v>11034.399999999994</v>
      </c>
      <c r="L92" s="14" t="s">
        <v>343</v>
      </c>
      <c r="M92" s="15" t="s">
        <v>376</v>
      </c>
      <c r="N92" s="15" t="str">
        <f>TEXT(Table1[[#This Row],[Date]],"mmm")</f>
        <v>Apr</v>
      </c>
    </row>
    <row r="93" spans="1:14" x14ac:dyDescent="0.3">
      <c r="A93" s="30" t="s">
        <v>180</v>
      </c>
      <c r="B93" s="31">
        <v>45400</v>
      </c>
      <c r="C93" s="30" t="s">
        <v>51</v>
      </c>
      <c r="D93" s="30" t="s">
        <v>37</v>
      </c>
      <c r="E93" s="32" t="s">
        <v>73</v>
      </c>
      <c r="F93" s="30">
        <v>10</v>
      </c>
      <c r="G93" s="38">
        <v>4662.3999999999996</v>
      </c>
      <c r="H93" s="38">
        <v>5828</v>
      </c>
      <c r="I93" s="33">
        <f t="shared" si="8"/>
        <v>46624</v>
      </c>
      <c r="J93" s="33">
        <v>58280</v>
      </c>
      <c r="K93" s="34">
        <f t="shared" si="9"/>
        <v>11656</v>
      </c>
      <c r="L93" s="33" t="s">
        <v>348</v>
      </c>
      <c r="M93" s="34" t="s">
        <v>377</v>
      </c>
      <c r="N93" s="34" t="str">
        <f>TEXT(Table1[[#This Row],[Date]],"mmm")</f>
        <v>Apr</v>
      </c>
    </row>
    <row r="94" spans="1:14" x14ac:dyDescent="0.3">
      <c r="A94" s="8" t="s">
        <v>158</v>
      </c>
      <c r="B94" s="9">
        <v>45401</v>
      </c>
      <c r="C94" s="8" t="s">
        <v>15</v>
      </c>
      <c r="D94" s="8" t="s">
        <v>20</v>
      </c>
      <c r="E94" s="8" t="s">
        <v>72</v>
      </c>
      <c r="F94" s="8">
        <v>10</v>
      </c>
      <c r="G94" s="36">
        <v>20709.900000000001</v>
      </c>
      <c r="H94" s="36">
        <v>23011</v>
      </c>
      <c r="I94" s="10">
        <f t="shared" si="8"/>
        <v>207099</v>
      </c>
      <c r="J94" s="10">
        <v>230110</v>
      </c>
      <c r="K94" s="11">
        <f t="shared" si="9"/>
        <v>23011</v>
      </c>
      <c r="L94" s="10" t="s">
        <v>355</v>
      </c>
      <c r="M94" s="11" t="s">
        <v>356</v>
      </c>
      <c r="N94" s="11" t="str">
        <f>TEXT(Table1[[#This Row],[Date]],"mmm")</f>
        <v>Apr</v>
      </c>
    </row>
    <row r="95" spans="1:14" x14ac:dyDescent="0.3">
      <c r="A95" s="16" t="s">
        <v>287</v>
      </c>
      <c r="B95" s="17">
        <v>45401</v>
      </c>
      <c r="C95" s="16" t="s">
        <v>6</v>
      </c>
      <c r="D95" s="16" t="s">
        <v>13</v>
      </c>
      <c r="E95" s="19" t="s">
        <v>73</v>
      </c>
      <c r="F95" s="16">
        <v>6</v>
      </c>
      <c r="G95" s="37">
        <v>37120.089999999997</v>
      </c>
      <c r="H95" s="37">
        <v>44723</v>
      </c>
      <c r="I95" s="18">
        <f t="shared" si="8"/>
        <v>222720.53999999998</v>
      </c>
      <c r="J95" s="18">
        <v>268338</v>
      </c>
      <c r="K95" s="20">
        <f t="shared" si="9"/>
        <v>45617.460000000021</v>
      </c>
      <c r="L95" s="18" t="s">
        <v>348</v>
      </c>
      <c r="M95" s="20" t="s">
        <v>377</v>
      </c>
      <c r="N95" s="20" t="str">
        <f>TEXT(Table1[[#This Row],[Date]],"mmm")</f>
        <v>Apr</v>
      </c>
    </row>
    <row r="96" spans="1:14" x14ac:dyDescent="0.3">
      <c r="A96" s="12" t="s">
        <v>135</v>
      </c>
      <c r="B96" s="13">
        <v>45402</v>
      </c>
      <c r="C96" s="12" t="s">
        <v>31</v>
      </c>
      <c r="D96" s="12" t="s">
        <v>37</v>
      </c>
      <c r="E96" s="12" t="s">
        <v>73</v>
      </c>
      <c r="F96" s="12">
        <v>1</v>
      </c>
      <c r="G96" s="35">
        <v>10689.57</v>
      </c>
      <c r="H96" s="35">
        <v>12879</v>
      </c>
      <c r="I96" s="14">
        <f t="shared" si="8"/>
        <v>10689.57</v>
      </c>
      <c r="J96" s="14">
        <v>12879</v>
      </c>
      <c r="K96" s="15">
        <f t="shared" si="9"/>
        <v>2189.4300000000003</v>
      </c>
      <c r="L96" s="14" t="s">
        <v>348</v>
      </c>
      <c r="M96" s="15" t="s">
        <v>354</v>
      </c>
      <c r="N96" s="15" t="str">
        <f>TEXT(Table1[[#This Row],[Date]],"mmm")</f>
        <v>Apr</v>
      </c>
    </row>
    <row r="97" spans="1:14" x14ac:dyDescent="0.3">
      <c r="A97" s="16" t="s">
        <v>47</v>
      </c>
      <c r="B97" s="17">
        <v>45403</v>
      </c>
      <c r="C97" s="16" t="s">
        <v>10</v>
      </c>
      <c r="D97" s="16" t="s">
        <v>44</v>
      </c>
      <c r="E97" s="19" t="s">
        <v>72</v>
      </c>
      <c r="F97" s="16">
        <v>5</v>
      </c>
      <c r="G97" s="37">
        <v>17990.73</v>
      </c>
      <c r="H97" s="37">
        <v>20679</v>
      </c>
      <c r="I97" s="18">
        <f>'01.Table'!$G31*'01.Table'!$F31</f>
        <v>45840.959999999999</v>
      </c>
      <c r="J97" s="18">
        <v>103395</v>
      </c>
      <c r="K97" s="20">
        <f>'01.Table'!$J31-'01.Table'!$I31</f>
        <v>6251.0400000000009</v>
      </c>
      <c r="L97" s="18" t="s">
        <v>355</v>
      </c>
      <c r="M97" s="20" t="s">
        <v>372</v>
      </c>
      <c r="N97" s="20" t="str">
        <f>TEXT(Table1[[#This Row],[Date]],"mmm")</f>
        <v>Apr</v>
      </c>
    </row>
    <row r="98" spans="1:14" x14ac:dyDescent="0.3">
      <c r="A98" s="8" t="s">
        <v>210</v>
      </c>
      <c r="B98" s="9">
        <v>45403</v>
      </c>
      <c r="C98" s="8" t="s">
        <v>6</v>
      </c>
      <c r="D98" s="8" t="s">
        <v>4</v>
      </c>
      <c r="E98" s="8" t="s">
        <v>73</v>
      </c>
      <c r="F98" s="8">
        <v>4</v>
      </c>
      <c r="G98" s="36">
        <v>9478.92</v>
      </c>
      <c r="H98" s="36">
        <v>11022</v>
      </c>
      <c r="I98" s="10">
        <f>F98*G98</f>
        <v>37915.68</v>
      </c>
      <c r="J98" s="10">
        <v>44088</v>
      </c>
      <c r="K98" s="11">
        <f>J98-I98</f>
        <v>6172.32</v>
      </c>
      <c r="L98" s="10" t="s">
        <v>351</v>
      </c>
      <c r="M98" s="11" t="s">
        <v>359</v>
      </c>
      <c r="N98" s="11" t="str">
        <f>TEXT(Table1[[#This Row],[Date]],"mmm")</f>
        <v>Apr</v>
      </c>
    </row>
    <row r="99" spans="1:14" x14ac:dyDescent="0.3">
      <c r="A99" s="16" t="s">
        <v>249</v>
      </c>
      <c r="B99" s="17">
        <v>45405</v>
      </c>
      <c r="C99" s="16" t="s">
        <v>6</v>
      </c>
      <c r="D99" s="16" t="s">
        <v>37</v>
      </c>
      <c r="E99" s="19" t="s">
        <v>73</v>
      </c>
      <c r="F99" s="16">
        <v>6</v>
      </c>
      <c r="G99" s="37">
        <v>17031.599999999999</v>
      </c>
      <c r="H99" s="37">
        <v>20520</v>
      </c>
      <c r="I99" s="18">
        <f>F99*G99</f>
        <v>102189.59999999999</v>
      </c>
      <c r="J99" s="18">
        <v>123120</v>
      </c>
      <c r="K99" s="20">
        <f>J99-I99</f>
        <v>20930.400000000009</v>
      </c>
      <c r="L99" s="18" t="s">
        <v>355</v>
      </c>
      <c r="M99" s="20" t="s">
        <v>372</v>
      </c>
      <c r="N99" s="20" t="str">
        <f>TEXT(Table1[[#This Row],[Date]],"mmm")</f>
        <v>Apr</v>
      </c>
    </row>
    <row r="100" spans="1:14" x14ac:dyDescent="0.3">
      <c r="A100" s="8" t="s">
        <v>204</v>
      </c>
      <c r="B100" s="9">
        <v>45406</v>
      </c>
      <c r="C100" s="8" t="s">
        <v>15</v>
      </c>
      <c r="D100" s="8" t="s">
        <v>37</v>
      </c>
      <c r="E100" s="8" t="s">
        <v>72</v>
      </c>
      <c r="F100" s="8">
        <v>5</v>
      </c>
      <c r="G100" s="36">
        <v>8568.09</v>
      </c>
      <c r="H100" s="36">
        <v>10323</v>
      </c>
      <c r="I100" s="10">
        <f>F100*G100</f>
        <v>42840.45</v>
      </c>
      <c r="J100" s="10">
        <v>51615</v>
      </c>
      <c r="K100" s="11">
        <f>J100-I100</f>
        <v>8774.5500000000029</v>
      </c>
      <c r="L100" s="10" t="s">
        <v>355</v>
      </c>
      <c r="M100" s="11" t="s">
        <v>356</v>
      </c>
      <c r="N100" s="11" t="str">
        <f>TEXT(Table1[[#This Row],[Date]],"mmm")</f>
        <v>Apr</v>
      </c>
    </row>
    <row r="101" spans="1:14" x14ac:dyDescent="0.3">
      <c r="A101" s="30" t="s">
        <v>33</v>
      </c>
      <c r="B101" s="31">
        <v>45407</v>
      </c>
      <c r="C101" s="30" t="s">
        <v>6</v>
      </c>
      <c r="D101" s="30" t="s">
        <v>28</v>
      </c>
      <c r="E101" s="32" t="s">
        <v>73</v>
      </c>
      <c r="F101" s="30">
        <v>6</v>
      </c>
      <c r="G101" s="38">
        <v>27739.360000000001</v>
      </c>
      <c r="H101" s="38">
        <v>31522</v>
      </c>
      <c r="I101" s="33">
        <f>'01.Table'!$G20*'01.Table'!$F20</f>
        <v>157248</v>
      </c>
      <c r="J101" s="33">
        <v>189132</v>
      </c>
      <c r="K101" s="34">
        <f>'01.Table'!$J20-'01.Table'!$I20</f>
        <v>15552</v>
      </c>
      <c r="L101" s="33" t="s">
        <v>364</v>
      </c>
      <c r="M101" s="34" t="s">
        <v>365</v>
      </c>
      <c r="N101" s="34" t="str">
        <f>TEXT(Table1[[#This Row],[Date]],"mmm")</f>
        <v>Apr</v>
      </c>
    </row>
    <row r="102" spans="1:14" x14ac:dyDescent="0.3">
      <c r="A102" s="12" t="s">
        <v>325</v>
      </c>
      <c r="B102" s="13">
        <v>45407</v>
      </c>
      <c r="C102" s="12" t="s">
        <v>6</v>
      </c>
      <c r="D102" s="12" t="s">
        <v>4</v>
      </c>
      <c r="E102" s="12" t="s">
        <v>72</v>
      </c>
      <c r="F102" s="12">
        <v>6</v>
      </c>
      <c r="G102" s="35">
        <v>40296.5</v>
      </c>
      <c r="H102" s="35">
        <v>48550</v>
      </c>
      <c r="I102" s="14">
        <f t="shared" ref="I102:I112" si="10">F102*G102</f>
        <v>241779</v>
      </c>
      <c r="J102" s="14">
        <v>291300</v>
      </c>
      <c r="K102" s="15">
        <f t="shared" ref="K102:K112" si="11">J102-I102</f>
        <v>49521</v>
      </c>
      <c r="L102" s="14" t="s">
        <v>364</v>
      </c>
      <c r="M102" s="15" t="s">
        <v>368</v>
      </c>
      <c r="N102" s="15" t="str">
        <f>TEXT(Table1[[#This Row],[Date]],"mmm")</f>
        <v>Apr</v>
      </c>
    </row>
    <row r="103" spans="1:14" x14ac:dyDescent="0.3">
      <c r="A103" s="30" t="s">
        <v>240</v>
      </c>
      <c r="B103" s="31">
        <v>45408</v>
      </c>
      <c r="C103" s="30" t="s">
        <v>24</v>
      </c>
      <c r="D103" s="30" t="s">
        <v>20</v>
      </c>
      <c r="E103" s="32" t="s">
        <v>72</v>
      </c>
      <c r="F103" s="30">
        <v>7</v>
      </c>
      <c r="G103" s="38">
        <v>16246.8</v>
      </c>
      <c r="H103" s="38">
        <v>18052</v>
      </c>
      <c r="I103" s="33">
        <f t="shared" si="10"/>
        <v>113727.59999999999</v>
      </c>
      <c r="J103" s="33">
        <v>126364</v>
      </c>
      <c r="K103" s="34">
        <f t="shared" si="11"/>
        <v>12636.400000000009</v>
      </c>
      <c r="L103" s="33" t="s">
        <v>364</v>
      </c>
      <c r="M103" s="34" t="s">
        <v>365</v>
      </c>
      <c r="N103" s="34" t="str">
        <f>TEXT(Table1[[#This Row],[Date]],"mmm")</f>
        <v>Apr</v>
      </c>
    </row>
    <row r="104" spans="1:14" x14ac:dyDescent="0.3">
      <c r="A104" s="8" t="s">
        <v>250</v>
      </c>
      <c r="B104" s="9">
        <v>45411</v>
      </c>
      <c r="C104" s="8" t="s">
        <v>24</v>
      </c>
      <c r="D104" s="8" t="s">
        <v>20</v>
      </c>
      <c r="E104" s="8" t="s">
        <v>72</v>
      </c>
      <c r="F104" s="8">
        <v>7</v>
      </c>
      <c r="G104" s="36">
        <v>15603.2</v>
      </c>
      <c r="H104" s="36">
        <v>16960</v>
      </c>
      <c r="I104" s="10">
        <f t="shared" si="10"/>
        <v>109222.40000000001</v>
      </c>
      <c r="J104" s="10">
        <v>118720</v>
      </c>
      <c r="K104" s="11">
        <f t="shared" si="11"/>
        <v>9497.5999999999913</v>
      </c>
      <c r="L104" s="10" t="s">
        <v>351</v>
      </c>
      <c r="M104" s="11" t="s">
        <v>359</v>
      </c>
      <c r="N104" s="11" t="str">
        <f>TEXT(Table1[[#This Row],[Date]],"mmm")</f>
        <v>Apr</v>
      </c>
    </row>
    <row r="105" spans="1:14" x14ac:dyDescent="0.3">
      <c r="A105" s="16" t="s">
        <v>93</v>
      </c>
      <c r="B105" s="17">
        <v>45412</v>
      </c>
      <c r="C105" s="16" t="s">
        <v>24</v>
      </c>
      <c r="D105" s="16" t="s">
        <v>49</v>
      </c>
      <c r="E105" s="19" t="s">
        <v>73</v>
      </c>
      <c r="F105" s="16">
        <v>1</v>
      </c>
      <c r="G105" s="37">
        <v>28370.23</v>
      </c>
      <c r="H105" s="37">
        <v>34181</v>
      </c>
      <c r="I105" s="18">
        <f t="shared" si="10"/>
        <v>28370.23</v>
      </c>
      <c r="J105" s="18">
        <v>34181</v>
      </c>
      <c r="K105" s="20">
        <f t="shared" si="11"/>
        <v>5810.77</v>
      </c>
      <c r="L105" s="18" t="s">
        <v>348</v>
      </c>
      <c r="M105" s="20" t="s">
        <v>349</v>
      </c>
      <c r="N105" s="20" t="str">
        <f>TEXT(Table1[[#This Row],[Date]],"mmm")</f>
        <v>Apr</v>
      </c>
    </row>
    <row r="106" spans="1:14" x14ac:dyDescent="0.3">
      <c r="A106" s="8" t="s">
        <v>282</v>
      </c>
      <c r="B106" s="9">
        <v>45412</v>
      </c>
      <c r="C106" s="8" t="s">
        <v>15</v>
      </c>
      <c r="D106" s="8" t="s">
        <v>4</v>
      </c>
      <c r="E106" s="8" t="s">
        <v>72</v>
      </c>
      <c r="F106" s="8">
        <v>2</v>
      </c>
      <c r="G106" s="36">
        <v>33033.550000000003</v>
      </c>
      <c r="H106" s="36">
        <v>38863</v>
      </c>
      <c r="I106" s="10">
        <f t="shared" si="10"/>
        <v>66067.100000000006</v>
      </c>
      <c r="J106" s="10">
        <v>77726</v>
      </c>
      <c r="K106" s="11">
        <f t="shared" si="11"/>
        <v>11658.899999999994</v>
      </c>
      <c r="L106" s="10" t="s">
        <v>348</v>
      </c>
      <c r="M106" s="11" t="s">
        <v>349</v>
      </c>
      <c r="N106" s="11" t="str">
        <f>TEXT(Table1[[#This Row],[Date]],"mmm")</f>
        <v>Apr</v>
      </c>
    </row>
    <row r="107" spans="1:14" x14ac:dyDescent="0.3">
      <c r="A107" s="30" t="s">
        <v>96</v>
      </c>
      <c r="B107" s="31">
        <v>45413</v>
      </c>
      <c r="C107" s="30" t="s">
        <v>15</v>
      </c>
      <c r="D107" s="30" t="s">
        <v>4</v>
      </c>
      <c r="E107" s="32" t="s">
        <v>72</v>
      </c>
      <c r="F107" s="30">
        <v>9</v>
      </c>
      <c r="G107" s="38">
        <v>10184.16</v>
      </c>
      <c r="H107" s="38">
        <v>12124</v>
      </c>
      <c r="I107" s="33">
        <f t="shared" si="10"/>
        <v>91657.44</v>
      </c>
      <c r="J107" s="33">
        <v>109116</v>
      </c>
      <c r="K107" s="34">
        <f t="shared" si="11"/>
        <v>17458.559999999998</v>
      </c>
      <c r="L107" s="33" t="s">
        <v>343</v>
      </c>
      <c r="M107" s="34" t="s">
        <v>344</v>
      </c>
      <c r="N107" s="34" t="str">
        <f>TEXT(Table1[[#This Row],[Date]],"mmm")</f>
        <v>May</v>
      </c>
    </row>
    <row r="108" spans="1:14" x14ac:dyDescent="0.3">
      <c r="A108" s="12" t="s">
        <v>141</v>
      </c>
      <c r="B108" s="13">
        <v>45413</v>
      </c>
      <c r="C108" s="12" t="s">
        <v>10</v>
      </c>
      <c r="D108" s="12" t="s">
        <v>49</v>
      </c>
      <c r="E108" s="12" t="s">
        <v>73</v>
      </c>
      <c r="F108" s="12">
        <v>2</v>
      </c>
      <c r="G108" s="35">
        <v>40816.080000000002</v>
      </c>
      <c r="H108" s="35">
        <v>49176</v>
      </c>
      <c r="I108" s="14">
        <f t="shared" si="10"/>
        <v>81632.160000000003</v>
      </c>
      <c r="J108" s="14">
        <v>98352</v>
      </c>
      <c r="K108" s="15">
        <f t="shared" si="11"/>
        <v>16719.839999999997</v>
      </c>
      <c r="L108" s="14" t="s">
        <v>355</v>
      </c>
      <c r="M108" s="15" t="s">
        <v>357</v>
      </c>
      <c r="N108" s="15" t="str">
        <f>TEXT(Table1[[#This Row],[Date]],"mmm")</f>
        <v>May</v>
      </c>
    </row>
    <row r="109" spans="1:14" x14ac:dyDescent="0.3">
      <c r="A109" s="30" t="s">
        <v>102</v>
      </c>
      <c r="B109" s="31">
        <v>45414</v>
      </c>
      <c r="C109" s="30" t="s">
        <v>15</v>
      </c>
      <c r="D109" s="30" t="s">
        <v>60</v>
      </c>
      <c r="E109" s="32" t="s">
        <v>72</v>
      </c>
      <c r="F109" s="30">
        <v>8</v>
      </c>
      <c r="G109" s="38">
        <v>19729.259999999998</v>
      </c>
      <c r="H109" s="38">
        <v>22941</v>
      </c>
      <c r="I109" s="33">
        <f t="shared" si="10"/>
        <v>157834.07999999999</v>
      </c>
      <c r="J109" s="33">
        <v>183528</v>
      </c>
      <c r="K109" s="34">
        <f t="shared" si="11"/>
        <v>25693.920000000013</v>
      </c>
      <c r="L109" s="33" t="s">
        <v>364</v>
      </c>
      <c r="M109" s="34" t="s">
        <v>368</v>
      </c>
      <c r="N109" s="34" t="str">
        <f>TEXT(Table1[[#This Row],[Date]],"mmm")</f>
        <v>May</v>
      </c>
    </row>
    <row r="110" spans="1:14" x14ac:dyDescent="0.3">
      <c r="A110" s="8" t="s">
        <v>284</v>
      </c>
      <c r="B110" s="9">
        <v>45415</v>
      </c>
      <c r="C110" s="8" t="s">
        <v>22</v>
      </c>
      <c r="D110" s="8" t="s">
        <v>60</v>
      </c>
      <c r="E110" s="8" t="s">
        <v>72</v>
      </c>
      <c r="F110" s="8">
        <v>4</v>
      </c>
      <c r="G110" s="36">
        <v>31730.16</v>
      </c>
      <c r="H110" s="36">
        <v>37774</v>
      </c>
      <c r="I110" s="10">
        <f t="shared" si="10"/>
        <v>126920.64</v>
      </c>
      <c r="J110" s="10">
        <v>151096</v>
      </c>
      <c r="K110" s="11">
        <f t="shared" si="11"/>
        <v>24175.360000000001</v>
      </c>
      <c r="L110" s="10" t="s">
        <v>351</v>
      </c>
      <c r="M110" s="11" t="s">
        <v>361</v>
      </c>
      <c r="N110" s="11" t="str">
        <f>TEXT(Table1[[#This Row],[Date]],"mmm")</f>
        <v>May</v>
      </c>
    </row>
    <row r="111" spans="1:14" x14ac:dyDescent="0.3">
      <c r="A111" s="16" t="s">
        <v>333</v>
      </c>
      <c r="B111" s="17">
        <v>45415</v>
      </c>
      <c r="C111" s="16" t="s">
        <v>15</v>
      </c>
      <c r="D111" s="16" t="s">
        <v>13</v>
      </c>
      <c r="E111" s="19" t="s">
        <v>73</v>
      </c>
      <c r="F111" s="16">
        <v>6</v>
      </c>
      <c r="G111" s="37">
        <v>39447.74</v>
      </c>
      <c r="H111" s="37">
        <v>48107</v>
      </c>
      <c r="I111" s="18">
        <f t="shared" si="10"/>
        <v>236686.44</v>
      </c>
      <c r="J111" s="18">
        <v>288642</v>
      </c>
      <c r="K111" s="20">
        <f t="shared" si="11"/>
        <v>51955.56</v>
      </c>
      <c r="L111" s="18" t="s">
        <v>355</v>
      </c>
      <c r="M111" s="20" t="s">
        <v>363</v>
      </c>
      <c r="N111" s="20" t="str">
        <f>TEXT(Table1[[#This Row],[Date]],"mmm")</f>
        <v>May</v>
      </c>
    </row>
    <row r="112" spans="1:14" x14ac:dyDescent="0.3">
      <c r="A112" s="12" t="s">
        <v>123</v>
      </c>
      <c r="B112" s="13">
        <v>45419</v>
      </c>
      <c r="C112" s="12" t="s">
        <v>8</v>
      </c>
      <c r="D112" s="12" t="s">
        <v>4</v>
      </c>
      <c r="E112" s="12" t="s">
        <v>73</v>
      </c>
      <c r="F112" s="12">
        <v>10</v>
      </c>
      <c r="G112" s="35">
        <v>11940.84</v>
      </c>
      <c r="H112" s="35">
        <v>14562</v>
      </c>
      <c r="I112" s="14">
        <f t="shared" si="10"/>
        <v>119408.4</v>
      </c>
      <c r="J112" s="14">
        <v>145620</v>
      </c>
      <c r="K112" s="15">
        <f t="shared" si="11"/>
        <v>26211.600000000006</v>
      </c>
      <c r="L112" s="14" t="s">
        <v>355</v>
      </c>
      <c r="M112" s="15" t="s">
        <v>374</v>
      </c>
      <c r="N112" s="15" t="str">
        <f>TEXT(Table1[[#This Row],[Date]],"mmm")</f>
        <v>May</v>
      </c>
    </row>
    <row r="113" spans="1:14" x14ac:dyDescent="0.3">
      <c r="A113" s="16" t="s">
        <v>34</v>
      </c>
      <c r="B113" s="17">
        <v>45420</v>
      </c>
      <c r="C113" s="16" t="s">
        <v>35</v>
      </c>
      <c r="D113" s="16" t="s">
        <v>28</v>
      </c>
      <c r="E113" s="19" t="s">
        <v>73</v>
      </c>
      <c r="F113" s="16">
        <v>3</v>
      </c>
      <c r="G113" s="37">
        <v>3633.66</v>
      </c>
      <c r="H113" s="37">
        <v>4486</v>
      </c>
      <c r="I113" s="18">
        <f>'01.Table'!$G21*'01.Table'!$F21</f>
        <v>31918.559999999998</v>
      </c>
      <c r="J113" s="18">
        <v>13458</v>
      </c>
      <c r="K113" s="20">
        <f>'01.Table'!$J21-'01.Table'!$I21</f>
        <v>-29896.459999999992</v>
      </c>
      <c r="L113" s="18" t="s">
        <v>343</v>
      </c>
      <c r="M113" s="20" t="s">
        <v>366</v>
      </c>
      <c r="N113" s="20" t="str">
        <f>TEXT(Table1[[#This Row],[Date]],"mmm")</f>
        <v>May</v>
      </c>
    </row>
    <row r="114" spans="1:14" x14ac:dyDescent="0.3">
      <c r="A114" s="12" t="s">
        <v>307</v>
      </c>
      <c r="B114" s="13">
        <v>45422</v>
      </c>
      <c r="C114" s="12" t="s">
        <v>24</v>
      </c>
      <c r="D114" s="12" t="s">
        <v>60</v>
      </c>
      <c r="E114" s="12" t="s">
        <v>72</v>
      </c>
      <c r="F114" s="12">
        <v>3</v>
      </c>
      <c r="G114" s="35">
        <v>26528.880000000001</v>
      </c>
      <c r="H114" s="35">
        <v>31582</v>
      </c>
      <c r="I114" s="14">
        <f t="shared" ref="I114:I122" si="12">F114*G114</f>
        <v>79586.64</v>
      </c>
      <c r="J114" s="14">
        <v>94746</v>
      </c>
      <c r="K114" s="15">
        <f t="shared" ref="K114:K122" si="13">J114-I114</f>
        <v>15159.36</v>
      </c>
      <c r="L114" s="14" t="s">
        <v>348</v>
      </c>
      <c r="M114" s="15" t="s">
        <v>384</v>
      </c>
      <c r="N114" s="15" t="str">
        <f>TEXT(Table1[[#This Row],[Date]],"mmm")</f>
        <v>May</v>
      </c>
    </row>
    <row r="115" spans="1:14" x14ac:dyDescent="0.3">
      <c r="A115" s="16" t="s">
        <v>243</v>
      </c>
      <c r="B115" s="17">
        <v>45423</v>
      </c>
      <c r="C115" s="16" t="s">
        <v>51</v>
      </c>
      <c r="D115" s="16" t="s">
        <v>37</v>
      </c>
      <c r="E115" s="19" t="s">
        <v>73</v>
      </c>
      <c r="F115" s="16">
        <v>3</v>
      </c>
      <c r="G115" s="37">
        <v>11417.36</v>
      </c>
      <c r="H115" s="37">
        <v>13276</v>
      </c>
      <c r="I115" s="18">
        <f t="shared" si="12"/>
        <v>34252.080000000002</v>
      </c>
      <c r="J115" s="18">
        <v>39828</v>
      </c>
      <c r="K115" s="20">
        <f t="shared" si="13"/>
        <v>5575.9199999999983</v>
      </c>
      <c r="L115" s="18" t="s">
        <v>343</v>
      </c>
      <c r="M115" s="20" t="s">
        <v>366</v>
      </c>
      <c r="N115" s="20" t="str">
        <f>TEXT(Table1[[#This Row],[Date]],"mmm")</f>
        <v>May</v>
      </c>
    </row>
    <row r="116" spans="1:14" x14ac:dyDescent="0.3">
      <c r="A116" s="8" t="s">
        <v>290</v>
      </c>
      <c r="B116" s="9">
        <v>45423</v>
      </c>
      <c r="C116" s="8" t="s">
        <v>24</v>
      </c>
      <c r="D116" s="8" t="s">
        <v>13</v>
      </c>
      <c r="E116" s="8" t="s">
        <v>73</v>
      </c>
      <c r="F116" s="8">
        <v>3</v>
      </c>
      <c r="G116" s="36">
        <v>9508.16</v>
      </c>
      <c r="H116" s="36">
        <v>11056</v>
      </c>
      <c r="I116" s="10">
        <f t="shared" si="12"/>
        <v>28524.48</v>
      </c>
      <c r="J116" s="10">
        <v>33168</v>
      </c>
      <c r="K116" s="11">
        <f t="shared" si="13"/>
        <v>4643.5200000000004</v>
      </c>
      <c r="L116" s="10" t="s">
        <v>348</v>
      </c>
      <c r="M116" s="11" t="s">
        <v>377</v>
      </c>
      <c r="N116" s="11" t="str">
        <f>TEXT(Table1[[#This Row],[Date]],"mmm")</f>
        <v>May</v>
      </c>
    </row>
    <row r="117" spans="1:14" x14ac:dyDescent="0.3">
      <c r="A117" s="30" t="s">
        <v>106</v>
      </c>
      <c r="B117" s="31">
        <v>45424</v>
      </c>
      <c r="C117" s="30" t="s">
        <v>35</v>
      </c>
      <c r="D117" s="30" t="s">
        <v>4</v>
      </c>
      <c r="E117" s="32" t="s">
        <v>73</v>
      </c>
      <c r="F117" s="30">
        <v>8</v>
      </c>
      <c r="G117" s="38">
        <v>34063.74</v>
      </c>
      <c r="H117" s="38">
        <v>42054</v>
      </c>
      <c r="I117" s="33">
        <f t="shared" si="12"/>
        <v>272509.92</v>
      </c>
      <c r="J117" s="33">
        <v>336432</v>
      </c>
      <c r="K117" s="34">
        <f t="shared" si="13"/>
        <v>63922.080000000016</v>
      </c>
      <c r="L117" s="33" t="s">
        <v>351</v>
      </c>
      <c r="M117" s="34" t="s">
        <v>353</v>
      </c>
      <c r="N117" s="34" t="str">
        <f>TEXT(Table1[[#This Row],[Date]],"mmm")</f>
        <v>May</v>
      </c>
    </row>
    <row r="118" spans="1:14" x14ac:dyDescent="0.3">
      <c r="A118" s="12" t="s">
        <v>197</v>
      </c>
      <c r="B118" s="13">
        <v>45425</v>
      </c>
      <c r="C118" s="12" t="s">
        <v>31</v>
      </c>
      <c r="D118" s="12" t="s">
        <v>20</v>
      </c>
      <c r="E118" s="12" t="s">
        <v>73</v>
      </c>
      <c r="F118" s="12">
        <v>9</v>
      </c>
      <c r="G118" s="35">
        <v>25409.16</v>
      </c>
      <c r="H118" s="35">
        <v>30249</v>
      </c>
      <c r="I118" s="14">
        <f t="shared" si="12"/>
        <v>228682.44</v>
      </c>
      <c r="J118" s="14">
        <v>272241</v>
      </c>
      <c r="K118" s="15">
        <f t="shared" si="13"/>
        <v>43558.559999999998</v>
      </c>
      <c r="L118" s="14" t="s">
        <v>345</v>
      </c>
      <c r="M118" s="15" t="s">
        <v>370</v>
      </c>
      <c r="N118" s="15" t="str">
        <f>TEXT(Table1[[#This Row],[Date]],"mmm")</f>
        <v>May</v>
      </c>
    </row>
    <row r="119" spans="1:14" x14ac:dyDescent="0.3">
      <c r="A119" s="16" t="s">
        <v>109</v>
      </c>
      <c r="B119" s="17">
        <v>45427</v>
      </c>
      <c r="C119" s="16" t="s">
        <v>35</v>
      </c>
      <c r="D119" s="16" t="s">
        <v>60</v>
      </c>
      <c r="E119" s="19" t="s">
        <v>73</v>
      </c>
      <c r="F119" s="16">
        <v>9</v>
      </c>
      <c r="G119" s="37">
        <v>9226.7999999999993</v>
      </c>
      <c r="H119" s="37">
        <v>10252</v>
      </c>
      <c r="I119" s="18">
        <f t="shared" si="12"/>
        <v>83041.2</v>
      </c>
      <c r="J119" s="18">
        <v>92268</v>
      </c>
      <c r="K119" s="20">
        <f t="shared" si="13"/>
        <v>9226.8000000000029</v>
      </c>
      <c r="L119" s="18" t="s">
        <v>345</v>
      </c>
      <c r="M119" s="20" t="s">
        <v>370</v>
      </c>
      <c r="N119" s="20" t="str">
        <f>TEXT(Table1[[#This Row],[Date]],"mmm")</f>
        <v>May</v>
      </c>
    </row>
    <row r="120" spans="1:14" x14ac:dyDescent="0.3">
      <c r="A120" s="12" t="s">
        <v>251</v>
      </c>
      <c r="B120" s="13">
        <v>45427</v>
      </c>
      <c r="C120" s="12" t="s">
        <v>51</v>
      </c>
      <c r="D120" s="12" t="s">
        <v>44</v>
      </c>
      <c r="E120" s="12" t="s">
        <v>72</v>
      </c>
      <c r="F120" s="12">
        <v>4</v>
      </c>
      <c r="G120" s="35">
        <v>25240.16</v>
      </c>
      <c r="H120" s="35">
        <v>28682</v>
      </c>
      <c r="I120" s="14">
        <f t="shared" si="12"/>
        <v>100960.64</v>
      </c>
      <c r="J120" s="14">
        <v>114728</v>
      </c>
      <c r="K120" s="15">
        <f t="shared" si="13"/>
        <v>13767.36</v>
      </c>
      <c r="L120" s="14" t="s">
        <v>343</v>
      </c>
      <c r="M120" s="15" t="s">
        <v>360</v>
      </c>
      <c r="N120" s="15" t="str">
        <f>TEXT(Table1[[#This Row],[Date]],"mmm")</f>
        <v>May</v>
      </c>
    </row>
    <row r="121" spans="1:14" x14ac:dyDescent="0.3">
      <c r="A121" s="16" t="s">
        <v>163</v>
      </c>
      <c r="B121" s="17">
        <v>45429</v>
      </c>
      <c r="C121" s="16" t="s">
        <v>6</v>
      </c>
      <c r="D121" s="16" t="s">
        <v>13</v>
      </c>
      <c r="E121" s="19" t="s">
        <v>73</v>
      </c>
      <c r="F121" s="16">
        <v>6</v>
      </c>
      <c r="G121" s="37">
        <v>4842.3999999999996</v>
      </c>
      <c r="H121" s="37">
        <v>6053</v>
      </c>
      <c r="I121" s="18">
        <f t="shared" si="12"/>
        <v>29054.399999999998</v>
      </c>
      <c r="J121" s="18">
        <v>36318</v>
      </c>
      <c r="K121" s="20">
        <f t="shared" si="13"/>
        <v>7263.6000000000022</v>
      </c>
      <c r="L121" s="18" t="s">
        <v>355</v>
      </c>
      <c r="M121" s="20" t="s">
        <v>363</v>
      </c>
      <c r="N121" s="20" t="str">
        <f>TEXT(Table1[[#This Row],[Date]],"mmm")</f>
        <v>May</v>
      </c>
    </row>
    <row r="122" spans="1:14" x14ac:dyDescent="0.3">
      <c r="A122" s="12" t="s">
        <v>229</v>
      </c>
      <c r="B122" s="13">
        <v>45429</v>
      </c>
      <c r="C122" s="12" t="s">
        <v>8</v>
      </c>
      <c r="D122" s="12" t="s">
        <v>20</v>
      </c>
      <c r="E122" s="12" t="s">
        <v>72</v>
      </c>
      <c r="F122" s="12">
        <v>2</v>
      </c>
      <c r="G122" s="35">
        <v>14458.05</v>
      </c>
      <c r="H122" s="35">
        <v>16245</v>
      </c>
      <c r="I122" s="14">
        <f t="shared" si="12"/>
        <v>28916.1</v>
      </c>
      <c r="J122" s="14">
        <v>32490</v>
      </c>
      <c r="K122" s="15">
        <f t="shared" si="13"/>
        <v>3573.9000000000015</v>
      </c>
      <c r="L122" s="14" t="s">
        <v>345</v>
      </c>
      <c r="M122" s="15" t="s">
        <v>346</v>
      </c>
      <c r="N122" s="15" t="str">
        <f>TEXT(Table1[[#This Row],[Date]],"mmm")</f>
        <v>May</v>
      </c>
    </row>
    <row r="123" spans="1:14" x14ac:dyDescent="0.3">
      <c r="A123" s="16" t="s">
        <v>50</v>
      </c>
      <c r="B123" s="17">
        <v>45432</v>
      </c>
      <c r="C123" s="16" t="s">
        <v>51</v>
      </c>
      <c r="D123" s="16" t="s">
        <v>49</v>
      </c>
      <c r="E123" s="19" t="s">
        <v>73</v>
      </c>
      <c r="F123" s="16">
        <v>6</v>
      </c>
      <c r="G123" s="37">
        <v>19460.75</v>
      </c>
      <c r="H123" s="37">
        <v>22895</v>
      </c>
      <c r="I123" s="18">
        <f>'01.Table'!$G33*'01.Table'!$F33</f>
        <v>146700</v>
      </c>
      <c r="J123" s="18">
        <v>137370</v>
      </c>
      <c r="K123" s="20">
        <f>'01.Table'!$J33-'01.Table'!$I33</f>
        <v>16300</v>
      </c>
      <c r="L123" s="18" t="s">
        <v>345</v>
      </c>
      <c r="M123" s="20" t="s">
        <v>346</v>
      </c>
      <c r="N123" s="20" t="str">
        <f>TEXT(Table1[[#This Row],[Date]],"mmm")</f>
        <v>May</v>
      </c>
    </row>
    <row r="124" spans="1:14" x14ac:dyDescent="0.3">
      <c r="A124" s="12" t="s">
        <v>183</v>
      </c>
      <c r="B124" s="13">
        <v>45433</v>
      </c>
      <c r="C124" s="12" t="s">
        <v>22</v>
      </c>
      <c r="D124" s="12" t="s">
        <v>28</v>
      </c>
      <c r="E124" s="12" t="s">
        <v>73</v>
      </c>
      <c r="F124" s="12">
        <v>7</v>
      </c>
      <c r="G124" s="35">
        <v>9813.92</v>
      </c>
      <c r="H124" s="35">
        <v>11824</v>
      </c>
      <c r="I124" s="14">
        <f>F124*G124</f>
        <v>68697.440000000002</v>
      </c>
      <c r="J124" s="14">
        <v>82768</v>
      </c>
      <c r="K124" s="15">
        <f>J124-I124</f>
        <v>14070.559999999998</v>
      </c>
      <c r="L124" s="14" t="s">
        <v>364</v>
      </c>
      <c r="M124" s="15" t="s">
        <v>371</v>
      </c>
      <c r="N124" s="15" t="str">
        <f>TEXT(Table1[[#This Row],[Date]],"mmm")</f>
        <v>May</v>
      </c>
    </row>
    <row r="125" spans="1:14" x14ac:dyDescent="0.3">
      <c r="A125" s="30" t="s">
        <v>27</v>
      </c>
      <c r="B125" s="31">
        <v>45435</v>
      </c>
      <c r="C125" s="30" t="s">
        <v>24</v>
      </c>
      <c r="D125" s="30" t="s">
        <v>28</v>
      </c>
      <c r="E125" s="32" t="s">
        <v>73</v>
      </c>
      <c r="F125" s="30">
        <v>8</v>
      </c>
      <c r="G125" s="38">
        <v>11377.25</v>
      </c>
      <c r="H125" s="38">
        <v>13385</v>
      </c>
      <c r="I125" s="33">
        <f>'01.Table'!$G16*'01.Table'!$F16</f>
        <v>83894.799999999988</v>
      </c>
      <c r="J125" s="33">
        <v>107080</v>
      </c>
      <c r="K125" s="34">
        <f>'01.Table'!$J16-'01.Table'!$I16</f>
        <v>7295.2000000000116</v>
      </c>
      <c r="L125" s="33" t="s">
        <v>351</v>
      </c>
      <c r="M125" s="34" t="s">
        <v>361</v>
      </c>
      <c r="N125" s="34" t="str">
        <f>TEXT(Table1[[#This Row],[Date]],"mmm")</f>
        <v>May</v>
      </c>
    </row>
    <row r="126" spans="1:14" x14ac:dyDescent="0.3">
      <c r="A126" s="12" t="s">
        <v>121</v>
      </c>
      <c r="B126" s="13">
        <v>45436</v>
      </c>
      <c r="C126" s="12" t="s">
        <v>35</v>
      </c>
      <c r="D126" s="12" t="s">
        <v>20</v>
      </c>
      <c r="E126" s="12" t="s">
        <v>73</v>
      </c>
      <c r="F126" s="12">
        <v>2</v>
      </c>
      <c r="G126" s="35">
        <v>44028.9</v>
      </c>
      <c r="H126" s="35">
        <v>48921</v>
      </c>
      <c r="I126" s="14">
        <f>F126*G126</f>
        <v>88057.8</v>
      </c>
      <c r="J126" s="14">
        <v>97842</v>
      </c>
      <c r="K126" s="15">
        <f>J126-I126</f>
        <v>9784.1999999999971</v>
      </c>
      <c r="L126" s="14" t="s">
        <v>345</v>
      </c>
      <c r="M126" s="15" t="s">
        <v>370</v>
      </c>
      <c r="N126" s="15" t="str">
        <f>TEXT(Table1[[#This Row],[Date]],"mmm")</f>
        <v>May</v>
      </c>
    </row>
    <row r="127" spans="1:14" x14ac:dyDescent="0.3">
      <c r="A127" s="30" t="s">
        <v>120</v>
      </c>
      <c r="B127" s="31">
        <v>45437</v>
      </c>
      <c r="C127" s="30" t="s">
        <v>24</v>
      </c>
      <c r="D127" s="30" t="s">
        <v>28</v>
      </c>
      <c r="E127" s="32" t="s">
        <v>72</v>
      </c>
      <c r="F127" s="30">
        <v>9</v>
      </c>
      <c r="G127" s="38">
        <v>22219.200000000001</v>
      </c>
      <c r="H127" s="38">
        <v>27774</v>
      </c>
      <c r="I127" s="33">
        <f>F127*G127</f>
        <v>199972.80000000002</v>
      </c>
      <c r="J127" s="33">
        <v>249966</v>
      </c>
      <c r="K127" s="34">
        <f>J127-I127</f>
        <v>49993.199999999983</v>
      </c>
      <c r="L127" s="33" t="s">
        <v>355</v>
      </c>
      <c r="M127" s="34" t="s">
        <v>356</v>
      </c>
      <c r="N127" s="34" t="str">
        <f>TEXT(Table1[[#This Row],[Date]],"mmm")</f>
        <v>May</v>
      </c>
    </row>
    <row r="128" spans="1:14" x14ac:dyDescent="0.3">
      <c r="A128" s="12" t="s">
        <v>21</v>
      </c>
      <c r="B128" s="13">
        <v>45442</v>
      </c>
      <c r="C128" s="12" t="s">
        <v>22</v>
      </c>
      <c r="D128" s="12" t="s">
        <v>20</v>
      </c>
      <c r="E128" s="12" t="s">
        <v>73</v>
      </c>
      <c r="F128" s="12">
        <v>3</v>
      </c>
      <c r="G128" s="35">
        <v>1587.6</v>
      </c>
      <c r="H128" s="35">
        <v>1764</v>
      </c>
      <c r="I128" s="14">
        <f>'01.Table'!$G13*'01.Table'!$F13</f>
        <v>34362.1</v>
      </c>
      <c r="J128" s="14">
        <v>5292</v>
      </c>
      <c r="K128" s="15">
        <f>'01.Table'!$J13-'01.Table'!$I13</f>
        <v>-174267</v>
      </c>
      <c r="L128" s="14" t="s">
        <v>351</v>
      </c>
      <c r="M128" s="15" t="s">
        <v>359</v>
      </c>
      <c r="N128" s="15" t="str">
        <f>TEXT(Table1[[#This Row],[Date]],"mmm")</f>
        <v>May</v>
      </c>
    </row>
    <row r="129" spans="1:14" x14ac:dyDescent="0.3">
      <c r="A129" s="30" t="s">
        <v>320</v>
      </c>
      <c r="B129" s="31">
        <v>45443</v>
      </c>
      <c r="C129" s="30" t="s">
        <v>15</v>
      </c>
      <c r="D129" s="30" t="s">
        <v>28</v>
      </c>
      <c r="E129" s="32" t="s">
        <v>72</v>
      </c>
      <c r="F129" s="30">
        <v>8</v>
      </c>
      <c r="G129" s="38">
        <v>20116.46</v>
      </c>
      <c r="H129" s="38">
        <v>22106</v>
      </c>
      <c r="I129" s="33">
        <f t="shared" ref="I129:I147" si="14">F129*G129</f>
        <v>160931.68</v>
      </c>
      <c r="J129" s="33">
        <v>176848</v>
      </c>
      <c r="K129" s="34">
        <f t="shared" ref="K129:K147" si="15">J129-I129</f>
        <v>15916.320000000007</v>
      </c>
      <c r="L129" s="33" t="s">
        <v>351</v>
      </c>
      <c r="M129" s="34" t="s">
        <v>359</v>
      </c>
      <c r="N129" s="34" t="str">
        <f>TEXT(Table1[[#This Row],[Date]],"mmm")</f>
        <v>May</v>
      </c>
    </row>
    <row r="130" spans="1:14" x14ac:dyDescent="0.3">
      <c r="A130" s="8" t="s">
        <v>194</v>
      </c>
      <c r="B130" s="9">
        <v>45444</v>
      </c>
      <c r="C130" s="8" t="s">
        <v>26</v>
      </c>
      <c r="D130" s="8" t="s">
        <v>44</v>
      </c>
      <c r="E130" s="8" t="s">
        <v>73</v>
      </c>
      <c r="F130" s="8">
        <v>5</v>
      </c>
      <c r="G130" s="36">
        <v>13862.58</v>
      </c>
      <c r="H130" s="36">
        <v>15934</v>
      </c>
      <c r="I130" s="10">
        <f t="shared" si="14"/>
        <v>69312.899999999994</v>
      </c>
      <c r="J130" s="10">
        <v>79670</v>
      </c>
      <c r="K130" s="11">
        <f t="shared" si="15"/>
        <v>10357.100000000006</v>
      </c>
      <c r="L130" s="10" t="s">
        <v>355</v>
      </c>
      <c r="M130" s="11" t="s">
        <v>363</v>
      </c>
      <c r="N130" s="11" t="str">
        <f>TEXT(Table1[[#This Row],[Date]],"mmm")</f>
        <v>Jun</v>
      </c>
    </row>
    <row r="131" spans="1:14" x14ac:dyDescent="0.3">
      <c r="A131" s="16" t="s">
        <v>167</v>
      </c>
      <c r="B131" s="17">
        <v>45446</v>
      </c>
      <c r="C131" s="16" t="s">
        <v>35</v>
      </c>
      <c r="D131" s="16" t="s">
        <v>44</v>
      </c>
      <c r="E131" s="19" t="s">
        <v>73</v>
      </c>
      <c r="F131" s="16">
        <v>10</v>
      </c>
      <c r="G131" s="37">
        <v>12584.880000000001</v>
      </c>
      <c r="H131" s="37">
        <v>14982</v>
      </c>
      <c r="I131" s="18">
        <f t="shared" si="14"/>
        <v>125848.80000000002</v>
      </c>
      <c r="J131" s="18">
        <v>149820</v>
      </c>
      <c r="K131" s="20">
        <f t="shared" si="15"/>
        <v>23971.199999999983</v>
      </c>
      <c r="L131" s="18" t="s">
        <v>345</v>
      </c>
      <c r="M131" s="20" t="s">
        <v>346</v>
      </c>
      <c r="N131" s="20" t="str">
        <f>TEXT(Table1[[#This Row],[Date]],"mmm")</f>
        <v>Jun</v>
      </c>
    </row>
    <row r="132" spans="1:14" x14ac:dyDescent="0.3">
      <c r="A132" s="12" t="s">
        <v>181</v>
      </c>
      <c r="B132" s="13">
        <v>45446</v>
      </c>
      <c r="C132" s="12" t="s">
        <v>51</v>
      </c>
      <c r="D132" s="12" t="s">
        <v>49</v>
      </c>
      <c r="E132" s="12" t="s">
        <v>73</v>
      </c>
      <c r="F132" s="12">
        <v>7</v>
      </c>
      <c r="G132" s="35">
        <v>19601.099999999999</v>
      </c>
      <c r="H132" s="35">
        <v>21779</v>
      </c>
      <c r="I132" s="14">
        <f t="shared" si="14"/>
        <v>137207.69999999998</v>
      </c>
      <c r="J132" s="14">
        <v>152453</v>
      </c>
      <c r="K132" s="15">
        <f t="shared" si="15"/>
        <v>15245.300000000017</v>
      </c>
      <c r="L132" s="14" t="s">
        <v>343</v>
      </c>
      <c r="M132" s="15" t="s">
        <v>344</v>
      </c>
      <c r="N132" s="15" t="str">
        <f>TEXT(Table1[[#This Row],[Date]],"mmm")</f>
        <v>Jun</v>
      </c>
    </row>
    <row r="133" spans="1:14" x14ac:dyDescent="0.3">
      <c r="A133" s="30" t="s">
        <v>92</v>
      </c>
      <c r="B133" s="31">
        <v>45447</v>
      </c>
      <c r="C133" s="30" t="s">
        <v>51</v>
      </c>
      <c r="D133" s="30" t="s">
        <v>44</v>
      </c>
      <c r="E133" s="32" t="s">
        <v>72</v>
      </c>
      <c r="F133" s="30">
        <v>4</v>
      </c>
      <c r="G133" s="38">
        <v>11898.88</v>
      </c>
      <c r="H133" s="38">
        <v>14336</v>
      </c>
      <c r="I133" s="33">
        <f t="shared" si="14"/>
        <v>47595.519999999997</v>
      </c>
      <c r="J133" s="33">
        <v>57344</v>
      </c>
      <c r="K133" s="34">
        <f t="shared" si="15"/>
        <v>9748.4800000000032</v>
      </c>
      <c r="L133" s="33" t="s">
        <v>355</v>
      </c>
      <c r="M133" s="34" t="s">
        <v>357</v>
      </c>
      <c r="N133" s="34" t="str">
        <f>TEXT(Table1[[#This Row],[Date]],"mmm")</f>
        <v>Jun</v>
      </c>
    </row>
    <row r="134" spans="1:14" x14ac:dyDescent="0.3">
      <c r="A134" s="12" t="s">
        <v>131</v>
      </c>
      <c r="B134" s="13">
        <v>45455</v>
      </c>
      <c r="C134" s="12" t="s">
        <v>26</v>
      </c>
      <c r="D134" s="12" t="s">
        <v>13</v>
      </c>
      <c r="E134" s="12" t="s">
        <v>72</v>
      </c>
      <c r="F134" s="12">
        <v>9</v>
      </c>
      <c r="G134" s="35">
        <v>9395.75</v>
      </c>
      <c r="H134" s="35">
        <v>10325</v>
      </c>
      <c r="I134" s="14">
        <f t="shared" si="14"/>
        <v>84561.75</v>
      </c>
      <c r="J134" s="14">
        <v>92925</v>
      </c>
      <c r="K134" s="15">
        <f t="shared" si="15"/>
        <v>8363.25</v>
      </c>
      <c r="L134" s="14" t="s">
        <v>345</v>
      </c>
      <c r="M134" s="15" t="s">
        <v>346</v>
      </c>
      <c r="N134" s="15" t="str">
        <f>TEXT(Table1[[#This Row],[Date]],"mmm")</f>
        <v>Jun</v>
      </c>
    </row>
    <row r="135" spans="1:14" x14ac:dyDescent="0.3">
      <c r="A135" s="30" t="s">
        <v>184</v>
      </c>
      <c r="B135" s="31">
        <v>45455</v>
      </c>
      <c r="C135" s="30" t="s">
        <v>6</v>
      </c>
      <c r="D135" s="30" t="s">
        <v>13</v>
      </c>
      <c r="E135" s="32" t="s">
        <v>73</v>
      </c>
      <c r="F135" s="30">
        <v>7</v>
      </c>
      <c r="G135" s="38">
        <v>37156.800000000003</v>
      </c>
      <c r="H135" s="38">
        <v>46446</v>
      </c>
      <c r="I135" s="33">
        <f t="shared" si="14"/>
        <v>260097.60000000003</v>
      </c>
      <c r="J135" s="33">
        <v>325122</v>
      </c>
      <c r="K135" s="34">
        <f t="shared" si="15"/>
        <v>65024.399999999965</v>
      </c>
      <c r="L135" s="33" t="s">
        <v>364</v>
      </c>
      <c r="M135" s="34" t="s">
        <v>382</v>
      </c>
      <c r="N135" s="34" t="str">
        <f>TEXT(Table1[[#This Row],[Date]],"mmm")</f>
        <v>Jun</v>
      </c>
    </row>
    <row r="136" spans="1:14" x14ac:dyDescent="0.3">
      <c r="A136" s="12" t="s">
        <v>315</v>
      </c>
      <c r="B136" s="13">
        <v>45455</v>
      </c>
      <c r="C136" s="12" t="s">
        <v>26</v>
      </c>
      <c r="D136" s="12" t="s">
        <v>13</v>
      </c>
      <c r="E136" s="12" t="s">
        <v>73</v>
      </c>
      <c r="F136" s="12">
        <v>10</v>
      </c>
      <c r="G136" s="35">
        <v>41310.36</v>
      </c>
      <c r="H136" s="35">
        <v>45396</v>
      </c>
      <c r="I136" s="14">
        <f t="shared" si="14"/>
        <v>413103.6</v>
      </c>
      <c r="J136" s="14">
        <v>453960</v>
      </c>
      <c r="K136" s="15">
        <f t="shared" si="15"/>
        <v>40856.400000000023</v>
      </c>
      <c r="L136" s="14" t="s">
        <v>351</v>
      </c>
      <c r="M136" s="15" t="s">
        <v>353</v>
      </c>
      <c r="N136" s="15" t="str">
        <f>TEXT(Table1[[#This Row],[Date]],"mmm")</f>
        <v>Jun</v>
      </c>
    </row>
    <row r="137" spans="1:14" x14ac:dyDescent="0.3">
      <c r="A137" s="16" t="s">
        <v>107</v>
      </c>
      <c r="B137" s="17">
        <v>45456</v>
      </c>
      <c r="C137" s="16" t="s">
        <v>8</v>
      </c>
      <c r="D137" s="16" t="s">
        <v>13</v>
      </c>
      <c r="E137" s="19" t="s">
        <v>73</v>
      </c>
      <c r="F137" s="16">
        <v>8</v>
      </c>
      <c r="G137" s="37">
        <v>31974.14</v>
      </c>
      <c r="H137" s="37">
        <v>35926</v>
      </c>
      <c r="I137" s="18">
        <f t="shared" si="14"/>
        <v>255793.12</v>
      </c>
      <c r="J137" s="18">
        <v>287408</v>
      </c>
      <c r="K137" s="20">
        <f t="shared" si="15"/>
        <v>31614.880000000005</v>
      </c>
      <c r="L137" s="18" t="s">
        <v>345</v>
      </c>
      <c r="M137" s="20" t="s">
        <v>350</v>
      </c>
      <c r="N137" s="20" t="str">
        <f>TEXT(Table1[[#This Row],[Date]],"mmm")</f>
        <v>Jun</v>
      </c>
    </row>
    <row r="138" spans="1:14" x14ac:dyDescent="0.3">
      <c r="A138" s="8" t="s">
        <v>104</v>
      </c>
      <c r="B138" s="9">
        <v>45457</v>
      </c>
      <c r="C138" s="8" t="s">
        <v>24</v>
      </c>
      <c r="D138" s="8" t="s">
        <v>13</v>
      </c>
      <c r="E138" s="8" t="s">
        <v>72</v>
      </c>
      <c r="F138" s="8">
        <v>4</v>
      </c>
      <c r="G138" s="36">
        <v>39972.660000000003</v>
      </c>
      <c r="H138" s="36">
        <v>43926</v>
      </c>
      <c r="I138" s="10">
        <f t="shared" si="14"/>
        <v>159890.64000000001</v>
      </c>
      <c r="J138" s="10">
        <v>175704</v>
      </c>
      <c r="K138" s="11">
        <f t="shared" si="15"/>
        <v>15813.359999999986</v>
      </c>
      <c r="L138" s="10" t="s">
        <v>348</v>
      </c>
      <c r="M138" s="11" t="s">
        <v>354</v>
      </c>
      <c r="N138" s="11" t="str">
        <f>TEXT(Table1[[#This Row],[Date]],"mmm")</f>
        <v>Jun</v>
      </c>
    </row>
    <row r="139" spans="1:14" x14ac:dyDescent="0.3">
      <c r="A139" s="16" t="s">
        <v>337</v>
      </c>
      <c r="B139" s="17">
        <v>45458</v>
      </c>
      <c r="C139" s="16" t="s">
        <v>8</v>
      </c>
      <c r="D139" s="16" t="s">
        <v>37</v>
      </c>
      <c r="E139" s="19" t="s">
        <v>72</v>
      </c>
      <c r="F139" s="16">
        <v>4</v>
      </c>
      <c r="G139" s="37">
        <v>39997.49</v>
      </c>
      <c r="H139" s="37">
        <v>44941</v>
      </c>
      <c r="I139" s="18">
        <f t="shared" si="14"/>
        <v>159989.96</v>
      </c>
      <c r="J139" s="18">
        <v>179764</v>
      </c>
      <c r="K139" s="20">
        <f t="shared" si="15"/>
        <v>19774.040000000008</v>
      </c>
      <c r="L139" s="18" t="s">
        <v>351</v>
      </c>
      <c r="M139" s="20" t="s">
        <v>362</v>
      </c>
      <c r="N139" s="20" t="str">
        <f>TEXT(Table1[[#This Row],[Date]],"mmm")</f>
        <v>Jun</v>
      </c>
    </row>
    <row r="140" spans="1:14" x14ac:dyDescent="0.3">
      <c r="A140" s="12" t="s">
        <v>253</v>
      </c>
      <c r="B140" s="13">
        <v>45459</v>
      </c>
      <c r="C140" s="12" t="s">
        <v>15</v>
      </c>
      <c r="D140" s="12" t="s">
        <v>20</v>
      </c>
      <c r="E140" s="12" t="s">
        <v>72</v>
      </c>
      <c r="F140" s="12">
        <v>4</v>
      </c>
      <c r="G140" s="35">
        <v>17520.2</v>
      </c>
      <c r="H140" s="35">
        <v>20612</v>
      </c>
      <c r="I140" s="14">
        <f t="shared" si="14"/>
        <v>70080.800000000003</v>
      </c>
      <c r="J140" s="14">
        <v>82448</v>
      </c>
      <c r="K140" s="15">
        <f t="shared" si="15"/>
        <v>12367.199999999997</v>
      </c>
      <c r="L140" s="14" t="s">
        <v>348</v>
      </c>
      <c r="M140" s="15" t="s">
        <v>373</v>
      </c>
      <c r="N140" s="15" t="str">
        <f>TEXT(Table1[[#This Row],[Date]],"mmm")</f>
        <v>Jun</v>
      </c>
    </row>
    <row r="141" spans="1:14" x14ac:dyDescent="0.3">
      <c r="A141" s="30" t="s">
        <v>270</v>
      </c>
      <c r="B141" s="31">
        <v>45459</v>
      </c>
      <c r="C141" s="30" t="s">
        <v>10</v>
      </c>
      <c r="D141" s="30" t="s">
        <v>4</v>
      </c>
      <c r="E141" s="32" t="s">
        <v>73</v>
      </c>
      <c r="F141" s="30">
        <v>2</v>
      </c>
      <c r="G141" s="38">
        <v>8048.48</v>
      </c>
      <c r="H141" s="38">
        <v>9146</v>
      </c>
      <c r="I141" s="33">
        <f t="shared" si="14"/>
        <v>16096.96</v>
      </c>
      <c r="J141" s="33">
        <v>18292</v>
      </c>
      <c r="K141" s="34">
        <f t="shared" si="15"/>
        <v>2195.0400000000009</v>
      </c>
      <c r="L141" s="33" t="s">
        <v>364</v>
      </c>
      <c r="M141" s="34" t="s">
        <v>378</v>
      </c>
      <c r="N141" s="34" t="str">
        <f>TEXT(Table1[[#This Row],[Date]],"mmm")</f>
        <v>Jun</v>
      </c>
    </row>
    <row r="142" spans="1:14" x14ac:dyDescent="0.3">
      <c r="A142" s="8" t="s">
        <v>280</v>
      </c>
      <c r="B142" s="9">
        <v>45459</v>
      </c>
      <c r="C142" s="8" t="s">
        <v>31</v>
      </c>
      <c r="D142" s="8" t="s">
        <v>49</v>
      </c>
      <c r="E142" s="8" t="s">
        <v>72</v>
      </c>
      <c r="F142" s="8">
        <v>9</v>
      </c>
      <c r="G142" s="36">
        <v>39551.33</v>
      </c>
      <c r="H142" s="36">
        <v>43463</v>
      </c>
      <c r="I142" s="10">
        <f t="shared" si="14"/>
        <v>355961.97000000003</v>
      </c>
      <c r="J142" s="10">
        <v>391167</v>
      </c>
      <c r="K142" s="11">
        <f t="shared" si="15"/>
        <v>35205.02999999997</v>
      </c>
      <c r="L142" s="10" t="s">
        <v>343</v>
      </c>
      <c r="M142" s="11" t="s">
        <v>381</v>
      </c>
      <c r="N142" s="11" t="str">
        <f>TEXT(Table1[[#This Row],[Date]],"mmm")</f>
        <v>Jun</v>
      </c>
    </row>
    <row r="143" spans="1:14" x14ac:dyDescent="0.3">
      <c r="A143" s="30" t="s">
        <v>226</v>
      </c>
      <c r="B143" s="31">
        <v>45460</v>
      </c>
      <c r="C143" s="30" t="s">
        <v>51</v>
      </c>
      <c r="D143" s="30" t="s">
        <v>60</v>
      </c>
      <c r="E143" s="32" t="s">
        <v>73</v>
      </c>
      <c r="F143" s="30">
        <v>2</v>
      </c>
      <c r="G143" s="38">
        <v>14628.24</v>
      </c>
      <c r="H143" s="38">
        <v>16623</v>
      </c>
      <c r="I143" s="33">
        <f t="shared" si="14"/>
        <v>29256.48</v>
      </c>
      <c r="J143" s="33">
        <v>33246</v>
      </c>
      <c r="K143" s="34">
        <f t="shared" si="15"/>
        <v>3989.5200000000004</v>
      </c>
      <c r="L143" s="33" t="s">
        <v>364</v>
      </c>
      <c r="M143" s="34" t="s">
        <v>378</v>
      </c>
      <c r="N143" s="34" t="str">
        <f>TEXT(Table1[[#This Row],[Date]],"mmm")</f>
        <v>Jun</v>
      </c>
    </row>
    <row r="144" spans="1:14" x14ac:dyDescent="0.3">
      <c r="A144" s="8" t="s">
        <v>278</v>
      </c>
      <c r="B144" s="9">
        <v>45460</v>
      </c>
      <c r="C144" s="8" t="s">
        <v>31</v>
      </c>
      <c r="D144" s="8" t="s">
        <v>13</v>
      </c>
      <c r="E144" s="8" t="s">
        <v>72</v>
      </c>
      <c r="F144" s="8">
        <v>6</v>
      </c>
      <c r="G144" s="36">
        <v>32398.799999999999</v>
      </c>
      <c r="H144" s="36">
        <v>38570</v>
      </c>
      <c r="I144" s="10">
        <f t="shared" si="14"/>
        <v>194392.8</v>
      </c>
      <c r="J144" s="10">
        <v>231420</v>
      </c>
      <c r="K144" s="11">
        <f t="shared" si="15"/>
        <v>37027.200000000012</v>
      </c>
      <c r="L144" s="10" t="s">
        <v>355</v>
      </c>
      <c r="M144" s="11" t="s">
        <v>357</v>
      </c>
      <c r="N144" s="11" t="str">
        <f>TEXT(Table1[[#This Row],[Date]],"mmm")</f>
        <v>Jun</v>
      </c>
    </row>
    <row r="145" spans="1:14" x14ac:dyDescent="0.3">
      <c r="A145" s="16" t="s">
        <v>239</v>
      </c>
      <c r="B145" s="17">
        <v>45461</v>
      </c>
      <c r="C145" s="16" t="s">
        <v>3</v>
      </c>
      <c r="D145" s="16" t="s">
        <v>37</v>
      </c>
      <c r="E145" s="19" t="s">
        <v>73</v>
      </c>
      <c r="F145" s="16">
        <v>2</v>
      </c>
      <c r="G145" s="37">
        <v>4431.28</v>
      </c>
      <c r="H145" s="37">
        <v>5404</v>
      </c>
      <c r="I145" s="18">
        <f t="shared" si="14"/>
        <v>8862.56</v>
      </c>
      <c r="J145" s="18">
        <v>10808</v>
      </c>
      <c r="K145" s="20">
        <f t="shared" si="15"/>
        <v>1945.4400000000005</v>
      </c>
      <c r="L145" s="18" t="s">
        <v>343</v>
      </c>
      <c r="M145" s="20" t="s">
        <v>344</v>
      </c>
      <c r="N145" s="20" t="str">
        <f>TEXT(Table1[[#This Row],[Date]],"mmm")</f>
        <v>Jun</v>
      </c>
    </row>
    <row r="146" spans="1:14" x14ac:dyDescent="0.3">
      <c r="A146" s="8" t="s">
        <v>186</v>
      </c>
      <c r="B146" s="9">
        <v>45465</v>
      </c>
      <c r="C146" s="8" t="s">
        <v>51</v>
      </c>
      <c r="D146" s="8" t="s">
        <v>37</v>
      </c>
      <c r="E146" s="8" t="s">
        <v>73</v>
      </c>
      <c r="F146" s="8">
        <v>4</v>
      </c>
      <c r="G146" s="36">
        <v>25593.48</v>
      </c>
      <c r="H146" s="36">
        <v>27819</v>
      </c>
      <c r="I146" s="10">
        <f t="shared" si="14"/>
        <v>102373.92</v>
      </c>
      <c r="J146" s="10">
        <v>111276</v>
      </c>
      <c r="K146" s="11">
        <f t="shared" si="15"/>
        <v>8902.0800000000017</v>
      </c>
      <c r="L146" s="10" t="s">
        <v>355</v>
      </c>
      <c r="M146" s="11" t="s">
        <v>374</v>
      </c>
      <c r="N146" s="11" t="str">
        <f>TEXT(Table1[[#This Row],[Date]],"mmm")</f>
        <v>Jun</v>
      </c>
    </row>
    <row r="147" spans="1:14" x14ac:dyDescent="0.3">
      <c r="A147" s="16" t="s">
        <v>91</v>
      </c>
      <c r="B147" s="17">
        <v>45466</v>
      </c>
      <c r="C147" s="16" t="s">
        <v>35</v>
      </c>
      <c r="D147" s="16" t="s">
        <v>28</v>
      </c>
      <c r="E147" s="19" t="s">
        <v>73</v>
      </c>
      <c r="F147" s="16">
        <v>4</v>
      </c>
      <c r="G147" s="37">
        <v>34524.46</v>
      </c>
      <c r="H147" s="37">
        <v>42103</v>
      </c>
      <c r="I147" s="18">
        <f t="shared" si="14"/>
        <v>138097.84</v>
      </c>
      <c r="J147" s="18">
        <v>168412</v>
      </c>
      <c r="K147" s="20">
        <f t="shared" si="15"/>
        <v>30314.160000000003</v>
      </c>
      <c r="L147" s="18" t="s">
        <v>355</v>
      </c>
      <c r="M147" s="20" t="s">
        <v>372</v>
      </c>
      <c r="N147" s="20" t="str">
        <f>TEXT(Table1[[#This Row],[Date]],"mmm")</f>
        <v>Jun</v>
      </c>
    </row>
    <row r="148" spans="1:14" x14ac:dyDescent="0.3">
      <c r="A148" s="8" t="s">
        <v>52</v>
      </c>
      <c r="B148" s="9">
        <v>45467</v>
      </c>
      <c r="C148" s="8" t="s">
        <v>51</v>
      </c>
      <c r="D148" s="8" t="s">
        <v>49</v>
      </c>
      <c r="E148" s="8" t="s">
        <v>73</v>
      </c>
      <c r="F148" s="8">
        <v>5</v>
      </c>
      <c r="G148" s="36">
        <v>38430.480000000003</v>
      </c>
      <c r="H148" s="36">
        <v>43671</v>
      </c>
      <c r="I148" s="10">
        <f>'01.Table'!$G34*'01.Table'!$F34</f>
        <v>185736.95999999999</v>
      </c>
      <c r="J148" s="10">
        <v>218355</v>
      </c>
      <c r="K148" s="11">
        <f>'01.Table'!$J34-'01.Table'!$I34</f>
        <v>16151.040000000008</v>
      </c>
      <c r="L148" s="10" t="s">
        <v>348</v>
      </c>
      <c r="M148" s="11" t="s">
        <v>373</v>
      </c>
      <c r="N148" s="11" t="str">
        <f>TEXT(Table1[[#This Row],[Date]],"mmm")</f>
        <v>Jun</v>
      </c>
    </row>
    <row r="149" spans="1:14" x14ac:dyDescent="0.3">
      <c r="A149" s="16" t="s">
        <v>101</v>
      </c>
      <c r="B149" s="17">
        <v>45467</v>
      </c>
      <c r="C149" s="16" t="s">
        <v>31</v>
      </c>
      <c r="D149" s="16" t="s">
        <v>44</v>
      </c>
      <c r="E149" s="19" t="s">
        <v>72</v>
      </c>
      <c r="F149" s="16">
        <v>4</v>
      </c>
      <c r="G149" s="37">
        <v>31667.13</v>
      </c>
      <c r="H149" s="37">
        <v>36399</v>
      </c>
      <c r="I149" s="18">
        <f t="shared" ref="I149:I157" si="16">F149*G149</f>
        <v>126668.52</v>
      </c>
      <c r="J149" s="18">
        <v>145596</v>
      </c>
      <c r="K149" s="20">
        <f t="shared" ref="K149:K157" si="17">J149-I149</f>
        <v>18927.479999999996</v>
      </c>
      <c r="L149" s="18" t="s">
        <v>351</v>
      </c>
      <c r="M149" s="20" t="s">
        <v>380</v>
      </c>
      <c r="N149" s="20" t="str">
        <f>TEXT(Table1[[#This Row],[Date]],"mmm")</f>
        <v>Jun</v>
      </c>
    </row>
    <row r="150" spans="1:14" x14ac:dyDescent="0.3">
      <c r="A150" s="12" t="s">
        <v>217</v>
      </c>
      <c r="B150" s="13">
        <v>45467</v>
      </c>
      <c r="C150" s="12" t="s">
        <v>35</v>
      </c>
      <c r="D150" s="12" t="s">
        <v>4</v>
      </c>
      <c r="E150" s="12" t="s">
        <v>72</v>
      </c>
      <c r="F150" s="12">
        <v>7</v>
      </c>
      <c r="G150" s="35">
        <v>12840</v>
      </c>
      <c r="H150" s="35">
        <v>16050</v>
      </c>
      <c r="I150" s="14">
        <f t="shared" si="16"/>
        <v>89880</v>
      </c>
      <c r="J150" s="14">
        <v>112350</v>
      </c>
      <c r="K150" s="15">
        <f t="shared" si="17"/>
        <v>22470</v>
      </c>
      <c r="L150" s="14" t="s">
        <v>351</v>
      </c>
      <c r="M150" s="15" t="s">
        <v>361</v>
      </c>
      <c r="N150" s="15" t="str">
        <f>TEXT(Table1[[#This Row],[Date]],"mmm")</f>
        <v>Jun</v>
      </c>
    </row>
    <row r="151" spans="1:14" x14ac:dyDescent="0.3">
      <c r="A151" s="16" t="s">
        <v>153</v>
      </c>
      <c r="B151" s="17">
        <v>45468</v>
      </c>
      <c r="C151" s="16" t="s">
        <v>31</v>
      </c>
      <c r="D151" s="16" t="s">
        <v>60</v>
      </c>
      <c r="E151" s="19" t="s">
        <v>73</v>
      </c>
      <c r="F151" s="16">
        <v>7</v>
      </c>
      <c r="G151" s="37">
        <v>18571.560000000001</v>
      </c>
      <c r="H151" s="37">
        <v>22109</v>
      </c>
      <c r="I151" s="18">
        <f t="shared" si="16"/>
        <v>130000.92000000001</v>
      </c>
      <c r="J151" s="18">
        <v>154763</v>
      </c>
      <c r="K151" s="20">
        <f t="shared" si="17"/>
        <v>24762.079999999987</v>
      </c>
      <c r="L151" s="18" t="s">
        <v>355</v>
      </c>
      <c r="M151" s="20" t="s">
        <v>379</v>
      </c>
      <c r="N151" s="20" t="str">
        <f>TEXT(Table1[[#This Row],[Date]],"mmm")</f>
        <v>Jun</v>
      </c>
    </row>
    <row r="152" spans="1:14" x14ac:dyDescent="0.3">
      <c r="A152" s="8" t="s">
        <v>306</v>
      </c>
      <c r="B152" s="9">
        <v>45468</v>
      </c>
      <c r="C152" s="8" t="s">
        <v>15</v>
      </c>
      <c r="D152" s="8" t="s">
        <v>28</v>
      </c>
      <c r="E152" s="8" t="s">
        <v>73</v>
      </c>
      <c r="F152" s="8">
        <v>3</v>
      </c>
      <c r="G152" s="36">
        <v>32832.54</v>
      </c>
      <c r="H152" s="36">
        <v>40534</v>
      </c>
      <c r="I152" s="10">
        <f t="shared" si="16"/>
        <v>98497.62</v>
      </c>
      <c r="J152" s="10">
        <v>121602</v>
      </c>
      <c r="K152" s="11">
        <f t="shared" si="17"/>
        <v>23104.380000000005</v>
      </c>
      <c r="L152" s="10" t="s">
        <v>343</v>
      </c>
      <c r="M152" s="11" t="s">
        <v>369</v>
      </c>
      <c r="N152" s="11" t="str">
        <f>TEXT(Table1[[#This Row],[Date]],"mmm")</f>
        <v>Jun</v>
      </c>
    </row>
    <row r="153" spans="1:14" x14ac:dyDescent="0.3">
      <c r="A153" s="30" t="s">
        <v>260</v>
      </c>
      <c r="B153" s="31">
        <v>45469</v>
      </c>
      <c r="C153" s="30" t="s">
        <v>10</v>
      </c>
      <c r="D153" s="30" t="s">
        <v>49</v>
      </c>
      <c r="E153" s="32" t="s">
        <v>72</v>
      </c>
      <c r="F153" s="30">
        <v>7</v>
      </c>
      <c r="G153" s="38">
        <v>11133.76</v>
      </c>
      <c r="H153" s="38">
        <v>12652</v>
      </c>
      <c r="I153" s="33">
        <f t="shared" si="16"/>
        <v>77936.320000000007</v>
      </c>
      <c r="J153" s="33">
        <v>88564</v>
      </c>
      <c r="K153" s="34">
        <f t="shared" si="17"/>
        <v>10627.679999999993</v>
      </c>
      <c r="L153" s="33" t="s">
        <v>355</v>
      </c>
      <c r="M153" s="34" t="s">
        <v>379</v>
      </c>
      <c r="N153" s="34" t="str">
        <f>TEXT(Table1[[#This Row],[Date]],"mmm")</f>
        <v>Jun</v>
      </c>
    </row>
    <row r="154" spans="1:14" x14ac:dyDescent="0.3">
      <c r="A154" s="8" t="s">
        <v>94</v>
      </c>
      <c r="B154" s="9">
        <v>45470</v>
      </c>
      <c r="C154" s="8" t="s">
        <v>3</v>
      </c>
      <c r="D154" s="8" t="s">
        <v>4</v>
      </c>
      <c r="E154" s="8" t="s">
        <v>73</v>
      </c>
      <c r="F154" s="8">
        <v>5</v>
      </c>
      <c r="G154" s="36">
        <v>33761</v>
      </c>
      <c r="H154" s="36">
        <v>37100</v>
      </c>
      <c r="I154" s="10">
        <f t="shared" si="16"/>
        <v>168805</v>
      </c>
      <c r="J154" s="10">
        <v>185500</v>
      </c>
      <c r="K154" s="11">
        <f t="shared" si="17"/>
        <v>16695</v>
      </c>
      <c r="L154" s="10" t="s">
        <v>364</v>
      </c>
      <c r="M154" s="11" t="s">
        <v>378</v>
      </c>
      <c r="N154" s="11" t="str">
        <f>TEXT(Table1[[#This Row],[Date]],"mmm")</f>
        <v>Jun</v>
      </c>
    </row>
    <row r="155" spans="1:14" x14ac:dyDescent="0.3">
      <c r="A155" s="30" t="s">
        <v>178</v>
      </c>
      <c r="B155" s="31">
        <v>45470</v>
      </c>
      <c r="C155" s="30" t="s">
        <v>24</v>
      </c>
      <c r="D155" s="30" t="s">
        <v>20</v>
      </c>
      <c r="E155" s="32" t="s">
        <v>73</v>
      </c>
      <c r="F155" s="30">
        <v>3</v>
      </c>
      <c r="G155" s="38">
        <v>31041.9</v>
      </c>
      <c r="H155" s="38">
        <v>34491</v>
      </c>
      <c r="I155" s="33">
        <f t="shared" si="16"/>
        <v>93125.700000000012</v>
      </c>
      <c r="J155" s="33">
        <v>103473</v>
      </c>
      <c r="K155" s="34">
        <f t="shared" si="17"/>
        <v>10347.299999999988</v>
      </c>
      <c r="L155" s="33" t="s">
        <v>348</v>
      </c>
      <c r="M155" s="34" t="s">
        <v>377</v>
      </c>
      <c r="N155" s="34" t="str">
        <f>TEXT(Table1[[#This Row],[Date]],"mmm")</f>
        <v>Jun</v>
      </c>
    </row>
    <row r="156" spans="1:14" x14ac:dyDescent="0.3">
      <c r="A156" s="12" t="s">
        <v>255</v>
      </c>
      <c r="B156" s="13">
        <v>45471</v>
      </c>
      <c r="C156" s="12" t="s">
        <v>8</v>
      </c>
      <c r="D156" s="12" t="s">
        <v>13</v>
      </c>
      <c r="E156" s="12" t="s">
        <v>73</v>
      </c>
      <c r="F156" s="12">
        <v>6</v>
      </c>
      <c r="G156" s="35">
        <v>27028.84</v>
      </c>
      <c r="H156" s="35">
        <v>32962</v>
      </c>
      <c r="I156" s="14">
        <f t="shared" si="16"/>
        <v>162173.04</v>
      </c>
      <c r="J156" s="14">
        <v>197772</v>
      </c>
      <c r="K156" s="15">
        <f t="shared" si="17"/>
        <v>35598.959999999992</v>
      </c>
      <c r="L156" s="14" t="s">
        <v>345</v>
      </c>
      <c r="M156" s="15" t="s">
        <v>350</v>
      </c>
      <c r="N156" s="15" t="str">
        <f>TEXT(Table1[[#This Row],[Date]],"mmm")</f>
        <v>Jun</v>
      </c>
    </row>
    <row r="157" spans="1:14" x14ac:dyDescent="0.3">
      <c r="A157" s="16" t="s">
        <v>275</v>
      </c>
      <c r="B157" s="17">
        <v>45471</v>
      </c>
      <c r="C157" s="16" t="s">
        <v>24</v>
      </c>
      <c r="D157" s="16" t="s">
        <v>28</v>
      </c>
      <c r="E157" s="19" t="s">
        <v>73</v>
      </c>
      <c r="F157" s="16">
        <v>10</v>
      </c>
      <c r="G157" s="37">
        <v>18156.96</v>
      </c>
      <c r="H157" s="37">
        <v>22416</v>
      </c>
      <c r="I157" s="18">
        <f t="shared" si="16"/>
        <v>181569.59999999998</v>
      </c>
      <c r="J157" s="18">
        <v>224160</v>
      </c>
      <c r="K157" s="20">
        <f t="shared" si="17"/>
        <v>42590.400000000023</v>
      </c>
      <c r="L157" s="18" t="s">
        <v>343</v>
      </c>
      <c r="M157" s="20" t="s">
        <v>381</v>
      </c>
      <c r="N157" s="20" t="str">
        <f>TEXT(Table1[[#This Row],[Date]],"mmm")</f>
        <v>Jun</v>
      </c>
    </row>
    <row r="158" spans="1:14" x14ac:dyDescent="0.3">
      <c r="A158" s="8" t="s">
        <v>48</v>
      </c>
      <c r="B158" s="9">
        <v>45473</v>
      </c>
      <c r="C158" s="8" t="s">
        <v>26</v>
      </c>
      <c r="D158" s="8" t="s">
        <v>49</v>
      </c>
      <c r="E158" s="8" t="s">
        <v>73</v>
      </c>
      <c r="F158" s="8">
        <v>6</v>
      </c>
      <c r="G158" s="36">
        <v>17489.599999999999</v>
      </c>
      <c r="H158" s="36">
        <v>20576</v>
      </c>
      <c r="I158" s="10">
        <f>'01.Table'!$G32*'01.Table'!$F32</f>
        <v>308151.89999999997</v>
      </c>
      <c r="J158" s="10">
        <v>123456</v>
      </c>
      <c r="K158" s="11">
        <f>'01.Table'!$J32-'01.Table'!$I32</f>
        <v>34239.100000000035</v>
      </c>
      <c r="L158" s="10" t="s">
        <v>345</v>
      </c>
      <c r="M158" s="11" t="s">
        <v>358</v>
      </c>
      <c r="N158" s="11" t="str">
        <f>TEXT(Table1[[#This Row],[Date]],"mmm")</f>
        <v>Jun</v>
      </c>
    </row>
    <row r="159" spans="1:14" x14ac:dyDescent="0.3">
      <c r="A159" s="16" t="s">
        <v>12</v>
      </c>
      <c r="B159" s="17">
        <v>45475</v>
      </c>
      <c r="C159" s="16" t="s">
        <v>6</v>
      </c>
      <c r="D159" s="16" t="s">
        <v>13</v>
      </c>
      <c r="E159" s="19" t="s">
        <v>73</v>
      </c>
      <c r="F159" s="16">
        <v>5</v>
      </c>
      <c r="G159" s="37">
        <v>26484.799999999999</v>
      </c>
      <c r="H159" s="37">
        <v>33106</v>
      </c>
      <c r="I159" s="18">
        <f>'01.Table'!$G7*'01.Table'!$F7</f>
        <v>34814.519999999997</v>
      </c>
      <c r="J159" s="18">
        <v>165530</v>
      </c>
      <c r="K159" s="20">
        <f>'01.Table'!$J7-'01.Table'!$I7</f>
        <v>20346.080000000002</v>
      </c>
      <c r="L159" s="18" t="s">
        <v>351</v>
      </c>
      <c r="M159" s="20" t="s">
        <v>352</v>
      </c>
      <c r="N159" s="20" t="str">
        <f>TEXT(Table1[[#This Row],[Date]],"mmm")</f>
        <v>Jul</v>
      </c>
    </row>
    <row r="160" spans="1:14" x14ac:dyDescent="0.3">
      <c r="A160" s="12" t="s">
        <v>205</v>
      </c>
      <c r="B160" s="13">
        <v>45476</v>
      </c>
      <c r="C160" s="12" t="s">
        <v>26</v>
      </c>
      <c r="D160" s="12" t="s">
        <v>13</v>
      </c>
      <c r="E160" s="12" t="s">
        <v>72</v>
      </c>
      <c r="F160" s="12">
        <v>9</v>
      </c>
      <c r="G160" s="35">
        <v>32725.599999999999</v>
      </c>
      <c r="H160" s="35">
        <v>40907</v>
      </c>
      <c r="I160" s="14">
        <f>F160*G160</f>
        <v>294530.39999999997</v>
      </c>
      <c r="J160" s="14">
        <v>368163</v>
      </c>
      <c r="K160" s="15">
        <f>J160-I160</f>
        <v>73632.600000000035</v>
      </c>
      <c r="L160" s="14" t="s">
        <v>355</v>
      </c>
      <c r="M160" s="15" t="s">
        <v>374</v>
      </c>
      <c r="N160" s="15" t="str">
        <f>TEXT(Table1[[#This Row],[Date]],"mmm")</f>
        <v>Jul</v>
      </c>
    </row>
    <row r="161" spans="1:14" x14ac:dyDescent="0.3">
      <c r="A161" s="30" t="s">
        <v>302</v>
      </c>
      <c r="B161" s="31">
        <v>45478</v>
      </c>
      <c r="C161" s="30" t="s">
        <v>22</v>
      </c>
      <c r="D161" s="30" t="s">
        <v>13</v>
      </c>
      <c r="E161" s="32" t="s">
        <v>72</v>
      </c>
      <c r="F161" s="30">
        <v>3</v>
      </c>
      <c r="G161" s="38">
        <v>40853.440000000002</v>
      </c>
      <c r="H161" s="38">
        <v>47504</v>
      </c>
      <c r="I161" s="33">
        <f>F161*G161</f>
        <v>122560.32000000001</v>
      </c>
      <c r="J161" s="33">
        <v>142512</v>
      </c>
      <c r="K161" s="34">
        <f>J161-I161</f>
        <v>19951.679999999993</v>
      </c>
      <c r="L161" s="33" t="s">
        <v>355</v>
      </c>
      <c r="M161" s="34" t="s">
        <v>379</v>
      </c>
      <c r="N161" s="34" t="str">
        <f>TEXT(Table1[[#This Row],[Date]],"mmm")</f>
        <v>Jul</v>
      </c>
    </row>
    <row r="162" spans="1:14" x14ac:dyDescent="0.3">
      <c r="A162" s="12" t="s">
        <v>64</v>
      </c>
      <c r="B162" s="13">
        <v>45479</v>
      </c>
      <c r="C162" s="12" t="s">
        <v>26</v>
      </c>
      <c r="D162" s="12" t="s">
        <v>60</v>
      </c>
      <c r="E162" s="12" t="s">
        <v>73</v>
      </c>
      <c r="F162" s="12">
        <v>1</v>
      </c>
      <c r="G162" s="35">
        <v>20659.5</v>
      </c>
      <c r="H162" s="35">
        <v>22955</v>
      </c>
      <c r="I162" s="14">
        <f>'01.Table'!$G45*'01.Table'!$F45</f>
        <v>95395.5</v>
      </c>
      <c r="J162" s="14">
        <v>22955</v>
      </c>
      <c r="K162" s="15">
        <f>'01.Table'!$J45-'01.Table'!$I45</f>
        <v>15529.5</v>
      </c>
      <c r="L162" s="14" t="s">
        <v>364</v>
      </c>
      <c r="M162" s="15" t="s">
        <v>371</v>
      </c>
      <c r="N162" s="15" t="str">
        <f>TEXT(Table1[[#This Row],[Date]],"mmm")</f>
        <v>Jul</v>
      </c>
    </row>
    <row r="163" spans="1:14" x14ac:dyDescent="0.3">
      <c r="A163" s="30" t="s">
        <v>322</v>
      </c>
      <c r="B163" s="31">
        <v>45479</v>
      </c>
      <c r="C163" s="30" t="s">
        <v>26</v>
      </c>
      <c r="D163" s="30" t="s">
        <v>60</v>
      </c>
      <c r="E163" s="32" t="s">
        <v>73</v>
      </c>
      <c r="F163" s="30">
        <v>4</v>
      </c>
      <c r="G163" s="38">
        <v>17160.66</v>
      </c>
      <c r="H163" s="38">
        <v>21186</v>
      </c>
      <c r="I163" s="33">
        <f>F163*G163</f>
        <v>68642.64</v>
      </c>
      <c r="J163" s="33">
        <v>84744</v>
      </c>
      <c r="K163" s="34">
        <f>J163-I163</f>
        <v>16101.36</v>
      </c>
      <c r="L163" s="33" t="s">
        <v>355</v>
      </c>
      <c r="M163" s="34" t="s">
        <v>357</v>
      </c>
      <c r="N163" s="34" t="str">
        <f>TEXT(Table1[[#This Row],[Date]],"mmm")</f>
        <v>Jul</v>
      </c>
    </row>
    <row r="164" spans="1:14" x14ac:dyDescent="0.3">
      <c r="A164" s="12" t="s">
        <v>151</v>
      </c>
      <c r="B164" s="13">
        <v>45480</v>
      </c>
      <c r="C164" s="12" t="s">
        <v>8</v>
      </c>
      <c r="D164" s="12" t="s">
        <v>44</v>
      </c>
      <c r="E164" s="12" t="s">
        <v>73</v>
      </c>
      <c r="F164" s="12">
        <v>9</v>
      </c>
      <c r="G164" s="35">
        <v>2012.6399999999999</v>
      </c>
      <c r="H164" s="35">
        <v>2396</v>
      </c>
      <c r="I164" s="14">
        <f>F164*G164</f>
        <v>18113.759999999998</v>
      </c>
      <c r="J164" s="14">
        <v>21564</v>
      </c>
      <c r="K164" s="15">
        <f>J164-I164</f>
        <v>3450.2400000000016</v>
      </c>
      <c r="L164" s="14" t="s">
        <v>355</v>
      </c>
      <c r="M164" s="15" t="s">
        <v>372</v>
      </c>
      <c r="N164" s="15" t="str">
        <f>TEXT(Table1[[#This Row],[Date]],"mmm")</f>
        <v>Jul</v>
      </c>
    </row>
    <row r="165" spans="1:14" x14ac:dyDescent="0.3">
      <c r="A165" s="30" t="s">
        <v>286</v>
      </c>
      <c r="B165" s="31">
        <v>45481</v>
      </c>
      <c r="C165" s="30" t="s">
        <v>3</v>
      </c>
      <c r="D165" s="30" t="s">
        <v>44</v>
      </c>
      <c r="E165" s="32" t="s">
        <v>73</v>
      </c>
      <c r="F165" s="30">
        <v>7</v>
      </c>
      <c r="G165" s="38">
        <v>21627.360000000001</v>
      </c>
      <c r="H165" s="38">
        <v>23508</v>
      </c>
      <c r="I165" s="33">
        <f>F165*G165</f>
        <v>151391.52000000002</v>
      </c>
      <c r="J165" s="33">
        <v>164556</v>
      </c>
      <c r="K165" s="34">
        <f>J165-I165</f>
        <v>13164.479999999981</v>
      </c>
      <c r="L165" s="33" t="s">
        <v>343</v>
      </c>
      <c r="M165" s="34" t="s">
        <v>369</v>
      </c>
      <c r="N165" s="34" t="str">
        <f>TEXT(Table1[[#This Row],[Date]],"mmm")</f>
        <v>Jul</v>
      </c>
    </row>
    <row r="166" spans="1:14" x14ac:dyDescent="0.3">
      <c r="A166" s="12" t="s">
        <v>171</v>
      </c>
      <c r="B166" s="13">
        <v>45482</v>
      </c>
      <c r="C166" s="12" t="s">
        <v>22</v>
      </c>
      <c r="D166" s="12" t="s">
        <v>4</v>
      </c>
      <c r="E166" s="12" t="s">
        <v>72</v>
      </c>
      <c r="F166" s="12">
        <v>10</v>
      </c>
      <c r="G166" s="35">
        <v>40206.720000000001</v>
      </c>
      <c r="H166" s="35">
        <v>46752</v>
      </c>
      <c r="I166" s="14">
        <f>F166*G166</f>
        <v>402067.20000000001</v>
      </c>
      <c r="J166" s="14">
        <v>467520</v>
      </c>
      <c r="K166" s="15">
        <f>J166-I166</f>
        <v>65452.799999999988</v>
      </c>
      <c r="L166" s="14" t="s">
        <v>343</v>
      </c>
      <c r="M166" s="15" t="s">
        <v>344</v>
      </c>
      <c r="N166" s="15" t="str">
        <f>TEXT(Table1[[#This Row],[Date]],"mmm")</f>
        <v>Jul</v>
      </c>
    </row>
    <row r="167" spans="1:14" x14ac:dyDescent="0.3">
      <c r="A167" s="16" t="s">
        <v>62</v>
      </c>
      <c r="B167" s="17">
        <v>45483</v>
      </c>
      <c r="C167" s="16" t="s">
        <v>6</v>
      </c>
      <c r="D167" s="16" t="s">
        <v>60</v>
      </c>
      <c r="E167" s="19" t="s">
        <v>73</v>
      </c>
      <c r="F167" s="16">
        <v>3</v>
      </c>
      <c r="G167" s="37">
        <v>18081.5</v>
      </c>
      <c r="H167" s="37">
        <v>21025</v>
      </c>
      <c r="I167" s="18">
        <f>'01.Table'!$G43*'01.Table'!$F43</f>
        <v>87398.16</v>
      </c>
      <c r="J167" s="18">
        <v>63075</v>
      </c>
      <c r="K167" s="20">
        <f>'01.Table'!$J43-'01.Table'!$I43</f>
        <v>7599.8399999999965</v>
      </c>
      <c r="L167" s="18" t="s">
        <v>364</v>
      </c>
      <c r="M167" s="20" t="s">
        <v>378</v>
      </c>
      <c r="N167" s="20" t="str">
        <f>TEXT(Table1[[#This Row],[Date]],"mmm")</f>
        <v>Jul</v>
      </c>
    </row>
    <row r="168" spans="1:14" x14ac:dyDescent="0.3">
      <c r="A168" s="12" t="s">
        <v>327</v>
      </c>
      <c r="B168" s="13">
        <v>45486</v>
      </c>
      <c r="C168" s="12" t="s">
        <v>10</v>
      </c>
      <c r="D168" s="12" t="s">
        <v>60</v>
      </c>
      <c r="E168" s="12" t="s">
        <v>72</v>
      </c>
      <c r="F168" s="12">
        <v>10</v>
      </c>
      <c r="G168" s="35">
        <v>26053.65</v>
      </c>
      <c r="H168" s="35">
        <v>32165</v>
      </c>
      <c r="I168" s="14">
        <f>F168*G168</f>
        <v>260536.5</v>
      </c>
      <c r="J168" s="14">
        <v>321650</v>
      </c>
      <c r="K168" s="15">
        <f>J168-I168</f>
        <v>61113.5</v>
      </c>
      <c r="L168" s="14" t="s">
        <v>351</v>
      </c>
      <c r="M168" s="15" t="s">
        <v>352</v>
      </c>
      <c r="N168" s="15" t="str">
        <f>TEXT(Table1[[#This Row],[Date]],"mmm")</f>
        <v>Jul</v>
      </c>
    </row>
    <row r="169" spans="1:14" x14ac:dyDescent="0.3">
      <c r="A169" s="16" t="s">
        <v>305</v>
      </c>
      <c r="B169" s="17">
        <v>45491</v>
      </c>
      <c r="C169" s="16" t="s">
        <v>24</v>
      </c>
      <c r="D169" s="16" t="s">
        <v>49</v>
      </c>
      <c r="E169" s="19" t="s">
        <v>72</v>
      </c>
      <c r="F169" s="16">
        <v>2</v>
      </c>
      <c r="G169" s="37">
        <v>39900</v>
      </c>
      <c r="H169" s="37">
        <v>47500</v>
      </c>
      <c r="I169" s="18">
        <f>F169*G169</f>
        <v>79800</v>
      </c>
      <c r="J169" s="18">
        <v>95000</v>
      </c>
      <c r="K169" s="20">
        <f>J169-I169</f>
        <v>15200</v>
      </c>
      <c r="L169" s="18" t="s">
        <v>343</v>
      </c>
      <c r="M169" s="20" t="s">
        <v>344</v>
      </c>
      <c r="N169" s="20" t="str">
        <f>TEXT(Table1[[#This Row],[Date]],"mmm")</f>
        <v>Jul</v>
      </c>
    </row>
    <row r="170" spans="1:14" x14ac:dyDescent="0.3">
      <c r="A170" s="12" t="s">
        <v>247</v>
      </c>
      <c r="B170" s="13">
        <v>45492</v>
      </c>
      <c r="C170" s="12" t="s">
        <v>26</v>
      </c>
      <c r="D170" s="12" t="s">
        <v>37</v>
      </c>
      <c r="E170" s="12" t="s">
        <v>72</v>
      </c>
      <c r="F170" s="12">
        <v>6</v>
      </c>
      <c r="G170" s="35">
        <v>40857.599999999999</v>
      </c>
      <c r="H170" s="35">
        <v>48640</v>
      </c>
      <c r="I170" s="14">
        <f>F170*G170</f>
        <v>245145.59999999998</v>
      </c>
      <c r="J170" s="14">
        <v>291840</v>
      </c>
      <c r="K170" s="15">
        <f>J170-I170</f>
        <v>46694.400000000023</v>
      </c>
      <c r="L170" s="14" t="s">
        <v>345</v>
      </c>
      <c r="M170" s="15" t="s">
        <v>375</v>
      </c>
      <c r="N170" s="15" t="str">
        <f>TEXT(Table1[[#This Row],[Date]],"mmm")</f>
        <v>Jul</v>
      </c>
    </row>
    <row r="171" spans="1:14" x14ac:dyDescent="0.3">
      <c r="A171" s="16" t="s">
        <v>9</v>
      </c>
      <c r="B171" s="17">
        <v>45495</v>
      </c>
      <c r="C171" s="16" t="s">
        <v>10</v>
      </c>
      <c r="D171" s="16" t="s">
        <v>4</v>
      </c>
      <c r="E171" s="19" t="s">
        <v>72</v>
      </c>
      <c r="F171" s="16">
        <v>10</v>
      </c>
      <c r="G171" s="37">
        <v>8617.5</v>
      </c>
      <c r="H171" s="37">
        <v>9575</v>
      </c>
      <c r="I171" s="18">
        <f>'01.Table'!$G5*'01.Table'!$F5</f>
        <v>204691.86</v>
      </c>
      <c r="J171" s="18">
        <v>95750</v>
      </c>
      <c r="K171" s="20">
        <f>'01.Table'!$J5-'01.Table'!$I5</f>
        <v>30586.140000000014</v>
      </c>
      <c r="L171" s="18" t="s">
        <v>348</v>
      </c>
      <c r="M171" s="20" t="s">
        <v>349</v>
      </c>
      <c r="N171" s="20" t="str">
        <f>TEXT(Table1[[#This Row],[Date]],"mmm")</f>
        <v>Jul</v>
      </c>
    </row>
    <row r="172" spans="1:14" x14ac:dyDescent="0.3">
      <c r="A172" s="12" t="s">
        <v>68</v>
      </c>
      <c r="B172" s="13">
        <v>45495</v>
      </c>
      <c r="C172" s="12" t="s">
        <v>26</v>
      </c>
      <c r="D172" s="12" t="s">
        <v>60</v>
      </c>
      <c r="E172" s="12" t="s">
        <v>73</v>
      </c>
      <c r="F172" s="12">
        <v>3</v>
      </c>
      <c r="G172" s="35">
        <v>18680.400000000001</v>
      </c>
      <c r="H172" s="35">
        <v>20756</v>
      </c>
      <c r="I172" s="14">
        <f>'01.Table'!$G49*'01.Table'!$F49</f>
        <v>323455.68</v>
      </c>
      <c r="J172" s="14">
        <v>62268</v>
      </c>
      <c r="K172" s="15">
        <f>'01.Table'!$J49-'01.Table'!$I49</f>
        <v>75872.320000000007</v>
      </c>
      <c r="L172" s="14" t="s">
        <v>355</v>
      </c>
      <c r="M172" s="15" t="s">
        <v>379</v>
      </c>
      <c r="N172" s="15" t="str">
        <f>TEXT(Table1[[#This Row],[Date]],"mmm")</f>
        <v>Jul</v>
      </c>
    </row>
    <row r="173" spans="1:14" x14ac:dyDescent="0.3">
      <c r="A173" s="30" t="s">
        <v>108</v>
      </c>
      <c r="B173" s="31">
        <v>45495</v>
      </c>
      <c r="C173" s="30" t="s">
        <v>3</v>
      </c>
      <c r="D173" s="30" t="s">
        <v>44</v>
      </c>
      <c r="E173" s="32" t="s">
        <v>72</v>
      </c>
      <c r="F173" s="30">
        <v>10</v>
      </c>
      <c r="G173" s="38">
        <v>27532</v>
      </c>
      <c r="H173" s="38">
        <v>34415</v>
      </c>
      <c r="I173" s="33">
        <f>F173*G173</f>
        <v>275320</v>
      </c>
      <c r="J173" s="33">
        <v>344150</v>
      </c>
      <c r="K173" s="34">
        <f>J173-I173</f>
        <v>68830</v>
      </c>
      <c r="L173" s="33" t="s">
        <v>355</v>
      </c>
      <c r="M173" s="34" t="s">
        <v>372</v>
      </c>
      <c r="N173" s="34" t="str">
        <f>TEXT(Table1[[#This Row],[Date]],"mmm")</f>
        <v>Jul</v>
      </c>
    </row>
    <row r="174" spans="1:14" x14ac:dyDescent="0.3">
      <c r="A174" s="8" t="s">
        <v>258</v>
      </c>
      <c r="B174" s="9">
        <v>45496</v>
      </c>
      <c r="C174" s="8" t="s">
        <v>35</v>
      </c>
      <c r="D174" s="8" t="s">
        <v>4</v>
      </c>
      <c r="E174" s="8" t="s">
        <v>73</v>
      </c>
      <c r="F174" s="8">
        <v>1</v>
      </c>
      <c r="G174" s="36">
        <v>21948.29</v>
      </c>
      <c r="H174" s="36">
        <v>24661</v>
      </c>
      <c r="I174" s="10">
        <f>F174*G174</f>
        <v>21948.29</v>
      </c>
      <c r="J174" s="10">
        <v>24661</v>
      </c>
      <c r="K174" s="11">
        <f>J174-I174</f>
        <v>2712.7099999999991</v>
      </c>
      <c r="L174" s="10" t="s">
        <v>343</v>
      </c>
      <c r="M174" s="11" t="s">
        <v>369</v>
      </c>
      <c r="N174" s="11" t="str">
        <f>TEXT(Table1[[#This Row],[Date]],"mmm")</f>
        <v>Jul</v>
      </c>
    </row>
    <row r="175" spans="1:14" x14ac:dyDescent="0.3">
      <c r="A175" s="30" t="s">
        <v>17</v>
      </c>
      <c r="B175" s="31">
        <v>45499</v>
      </c>
      <c r="C175" s="30" t="s">
        <v>10</v>
      </c>
      <c r="D175" s="30" t="s">
        <v>13</v>
      </c>
      <c r="E175" s="32" t="s">
        <v>72</v>
      </c>
      <c r="F175" s="30">
        <v>1</v>
      </c>
      <c r="G175" s="38">
        <v>29087.64</v>
      </c>
      <c r="H175" s="38">
        <v>31617</v>
      </c>
      <c r="I175" s="33">
        <f>'01.Table'!$G10*'01.Table'!$F10</f>
        <v>178783.19999999998</v>
      </c>
      <c r="J175" s="33">
        <v>31617</v>
      </c>
      <c r="K175" s="34">
        <f>'01.Table'!$J10-'01.Table'!$I10</f>
        <v>44695.800000000017</v>
      </c>
      <c r="L175" s="33" t="s">
        <v>355</v>
      </c>
      <c r="M175" s="34" t="s">
        <v>356</v>
      </c>
      <c r="N175" s="34" t="str">
        <f>TEXT(Table1[[#This Row],[Date]],"mmm")</f>
        <v>Jul</v>
      </c>
    </row>
    <row r="176" spans="1:14" x14ac:dyDescent="0.3">
      <c r="A176" s="8" t="s">
        <v>266</v>
      </c>
      <c r="B176" s="9">
        <v>45500</v>
      </c>
      <c r="C176" s="8" t="s">
        <v>8</v>
      </c>
      <c r="D176" s="8" t="s">
        <v>44</v>
      </c>
      <c r="E176" s="8" t="s">
        <v>73</v>
      </c>
      <c r="F176" s="8">
        <v>10</v>
      </c>
      <c r="G176" s="36">
        <v>29162.6</v>
      </c>
      <c r="H176" s="36">
        <v>33910</v>
      </c>
      <c r="I176" s="10">
        <f>F176*G176</f>
        <v>291626</v>
      </c>
      <c r="J176" s="10">
        <v>339100</v>
      </c>
      <c r="K176" s="11">
        <f>J176-I176</f>
        <v>47474</v>
      </c>
      <c r="L176" s="10" t="s">
        <v>355</v>
      </c>
      <c r="M176" s="11" t="s">
        <v>363</v>
      </c>
      <c r="N176" s="11" t="str">
        <f>TEXT(Table1[[#This Row],[Date]],"mmm")</f>
        <v>Jul</v>
      </c>
    </row>
    <row r="177" spans="1:14" x14ac:dyDescent="0.3">
      <c r="A177" s="16" t="s">
        <v>105</v>
      </c>
      <c r="B177" s="17">
        <v>45501</v>
      </c>
      <c r="C177" s="16" t="s">
        <v>31</v>
      </c>
      <c r="D177" s="16" t="s">
        <v>37</v>
      </c>
      <c r="E177" s="19" t="s">
        <v>73</v>
      </c>
      <c r="F177" s="16">
        <v>5</v>
      </c>
      <c r="G177" s="37">
        <v>37182.42</v>
      </c>
      <c r="H177" s="37">
        <v>41778</v>
      </c>
      <c r="I177" s="18">
        <f>F177*G177</f>
        <v>185912.09999999998</v>
      </c>
      <c r="J177" s="18">
        <v>208890</v>
      </c>
      <c r="K177" s="20">
        <f>J177-I177</f>
        <v>22977.900000000023</v>
      </c>
      <c r="L177" s="18" t="s">
        <v>355</v>
      </c>
      <c r="M177" s="20" t="s">
        <v>379</v>
      </c>
      <c r="N177" s="20" t="str">
        <f>TEXT(Table1[[#This Row],[Date]],"mmm")</f>
        <v>Jul</v>
      </c>
    </row>
    <row r="178" spans="1:14" x14ac:dyDescent="0.3">
      <c r="A178" s="12" t="s">
        <v>191</v>
      </c>
      <c r="B178" s="13">
        <v>45501</v>
      </c>
      <c r="C178" s="12" t="s">
        <v>24</v>
      </c>
      <c r="D178" s="12" t="s">
        <v>20</v>
      </c>
      <c r="E178" s="12" t="s">
        <v>72</v>
      </c>
      <c r="F178" s="12">
        <v>3</v>
      </c>
      <c r="G178" s="35">
        <v>11356.8</v>
      </c>
      <c r="H178" s="35">
        <v>12480</v>
      </c>
      <c r="I178" s="14">
        <f>F178*G178</f>
        <v>34070.399999999994</v>
      </c>
      <c r="J178" s="14">
        <v>37440</v>
      </c>
      <c r="K178" s="15">
        <f>J178-I178</f>
        <v>3369.6000000000058</v>
      </c>
      <c r="L178" s="14" t="s">
        <v>364</v>
      </c>
      <c r="M178" s="15" t="s">
        <v>371</v>
      </c>
      <c r="N178" s="15" t="str">
        <f>TEXT(Table1[[#This Row],[Date]],"mmm")</f>
        <v>Jul</v>
      </c>
    </row>
    <row r="179" spans="1:14" x14ac:dyDescent="0.3">
      <c r="A179" s="30" t="s">
        <v>198</v>
      </c>
      <c r="B179" s="31">
        <v>45505</v>
      </c>
      <c r="C179" s="30" t="s">
        <v>24</v>
      </c>
      <c r="D179" s="30" t="s">
        <v>4</v>
      </c>
      <c r="E179" s="32" t="s">
        <v>73</v>
      </c>
      <c r="F179" s="30">
        <v>7</v>
      </c>
      <c r="G179" s="38">
        <v>4068.1</v>
      </c>
      <c r="H179" s="38">
        <v>4786</v>
      </c>
      <c r="I179" s="33">
        <f>F179*G179</f>
        <v>28476.7</v>
      </c>
      <c r="J179" s="33">
        <v>33502</v>
      </c>
      <c r="K179" s="34">
        <f>J179-I179</f>
        <v>5025.2999999999993</v>
      </c>
      <c r="L179" s="33" t="s">
        <v>343</v>
      </c>
      <c r="M179" s="34" t="s">
        <v>366</v>
      </c>
      <c r="N179" s="34" t="str">
        <f>TEXT(Table1[[#This Row],[Date]],"mmm")</f>
        <v>Aug</v>
      </c>
    </row>
    <row r="180" spans="1:14" x14ac:dyDescent="0.3">
      <c r="A180" s="12" t="s">
        <v>59</v>
      </c>
      <c r="B180" s="13">
        <v>45506</v>
      </c>
      <c r="C180" s="12" t="s">
        <v>31</v>
      </c>
      <c r="D180" s="12" t="s">
        <v>60</v>
      </c>
      <c r="E180" s="12" t="s">
        <v>73</v>
      </c>
      <c r="F180" s="12">
        <v>2</v>
      </c>
      <c r="G180" s="35">
        <v>22920.17</v>
      </c>
      <c r="H180" s="35">
        <v>25187</v>
      </c>
      <c r="I180" s="14">
        <f>'01.Table'!$G41*'01.Table'!$F41</f>
        <v>116952.81</v>
      </c>
      <c r="J180" s="14">
        <v>50374</v>
      </c>
      <c r="K180" s="15">
        <f>'01.Table'!$J41-'01.Table'!$I41</f>
        <v>23954.190000000002</v>
      </c>
      <c r="L180" s="14" t="s">
        <v>343</v>
      </c>
      <c r="M180" s="15" t="s">
        <v>366</v>
      </c>
      <c r="N180" s="15" t="str">
        <f>TEXT(Table1[[#This Row],[Date]],"mmm")</f>
        <v>Aug</v>
      </c>
    </row>
    <row r="181" spans="1:14" x14ac:dyDescent="0.3">
      <c r="A181" s="30" t="s">
        <v>254</v>
      </c>
      <c r="B181" s="31">
        <v>45506</v>
      </c>
      <c r="C181" s="30" t="s">
        <v>6</v>
      </c>
      <c r="D181" s="30" t="s">
        <v>20</v>
      </c>
      <c r="E181" s="32" t="s">
        <v>72</v>
      </c>
      <c r="F181" s="30">
        <v>7</v>
      </c>
      <c r="G181" s="38">
        <v>33987.599999999999</v>
      </c>
      <c r="H181" s="38">
        <v>41960</v>
      </c>
      <c r="I181" s="33">
        <f t="shared" ref="I181:I192" si="18">F181*G181</f>
        <v>237913.19999999998</v>
      </c>
      <c r="J181" s="33">
        <v>293720</v>
      </c>
      <c r="K181" s="34">
        <f t="shared" ref="K181:K192" si="19">J181-I181</f>
        <v>55806.800000000017</v>
      </c>
      <c r="L181" s="33" t="s">
        <v>345</v>
      </c>
      <c r="M181" s="34" t="s">
        <v>358</v>
      </c>
      <c r="N181" s="34" t="str">
        <f>TEXT(Table1[[#This Row],[Date]],"mmm")</f>
        <v>Aug</v>
      </c>
    </row>
    <row r="182" spans="1:14" x14ac:dyDescent="0.3">
      <c r="A182" s="12" t="s">
        <v>103</v>
      </c>
      <c r="B182" s="13">
        <v>45507</v>
      </c>
      <c r="C182" s="12" t="s">
        <v>15</v>
      </c>
      <c r="D182" s="12" t="s">
        <v>4</v>
      </c>
      <c r="E182" s="12" t="s">
        <v>72</v>
      </c>
      <c r="F182" s="12">
        <v>5</v>
      </c>
      <c r="G182" s="35">
        <v>9405.9</v>
      </c>
      <c r="H182" s="35">
        <v>10451</v>
      </c>
      <c r="I182" s="14">
        <f t="shared" si="18"/>
        <v>47029.5</v>
      </c>
      <c r="J182" s="14">
        <v>52255</v>
      </c>
      <c r="K182" s="15">
        <f t="shared" si="19"/>
        <v>5225.5</v>
      </c>
      <c r="L182" s="14" t="s">
        <v>343</v>
      </c>
      <c r="M182" s="15" t="s">
        <v>376</v>
      </c>
      <c r="N182" s="15" t="str">
        <f>TEXT(Table1[[#This Row],[Date]],"mmm")</f>
        <v>Aug</v>
      </c>
    </row>
    <row r="183" spans="1:14" x14ac:dyDescent="0.3">
      <c r="A183" s="30" t="s">
        <v>152</v>
      </c>
      <c r="B183" s="31">
        <v>45507</v>
      </c>
      <c r="C183" s="30" t="s">
        <v>35</v>
      </c>
      <c r="D183" s="30" t="s">
        <v>13</v>
      </c>
      <c r="E183" s="32" t="s">
        <v>72</v>
      </c>
      <c r="F183" s="30">
        <v>7</v>
      </c>
      <c r="G183" s="38">
        <v>13138.2</v>
      </c>
      <c r="H183" s="38">
        <v>16220</v>
      </c>
      <c r="I183" s="33">
        <f t="shared" si="18"/>
        <v>91967.400000000009</v>
      </c>
      <c r="J183" s="33">
        <v>113540</v>
      </c>
      <c r="K183" s="34">
        <f t="shared" si="19"/>
        <v>21572.599999999991</v>
      </c>
      <c r="L183" s="33" t="s">
        <v>345</v>
      </c>
      <c r="M183" s="34" t="s">
        <v>346</v>
      </c>
      <c r="N183" s="34" t="str">
        <f>TEXT(Table1[[#This Row],[Date]],"mmm")</f>
        <v>Aug</v>
      </c>
    </row>
    <row r="184" spans="1:14" x14ac:dyDescent="0.3">
      <c r="A184" s="8" t="s">
        <v>136</v>
      </c>
      <c r="B184" s="9">
        <v>45508</v>
      </c>
      <c r="C184" s="8" t="s">
        <v>31</v>
      </c>
      <c r="D184" s="8" t="s">
        <v>4</v>
      </c>
      <c r="E184" s="8" t="s">
        <v>73</v>
      </c>
      <c r="F184" s="8">
        <v>10</v>
      </c>
      <c r="G184" s="36">
        <v>13028.4</v>
      </c>
      <c r="H184" s="36">
        <v>15510</v>
      </c>
      <c r="I184" s="10">
        <f t="shared" si="18"/>
        <v>130284</v>
      </c>
      <c r="J184" s="10">
        <v>155100</v>
      </c>
      <c r="K184" s="11">
        <f t="shared" si="19"/>
        <v>24816</v>
      </c>
      <c r="L184" s="10" t="s">
        <v>345</v>
      </c>
      <c r="M184" s="11" t="s">
        <v>370</v>
      </c>
      <c r="N184" s="11" t="str">
        <f>TEXT(Table1[[#This Row],[Date]],"mmm")</f>
        <v>Aug</v>
      </c>
    </row>
    <row r="185" spans="1:14" x14ac:dyDescent="0.3">
      <c r="A185" s="30" t="s">
        <v>244</v>
      </c>
      <c r="B185" s="31">
        <v>45509</v>
      </c>
      <c r="C185" s="30" t="s">
        <v>15</v>
      </c>
      <c r="D185" s="30" t="s">
        <v>20</v>
      </c>
      <c r="E185" s="32" t="s">
        <v>73</v>
      </c>
      <c r="F185" s="30">
        <v>2</v>
      </c>
      <c r="G185" s="38">
        <v>36221.9</v>
      </c>
      <c r="H185" s="38">
        <v>42614</v>
      </c>
      <c r="I185" s="33">
        <f t="shared" si="18"/>
        <v>72443.8</v>
      </c>
      <c r="J185" s="33">
        <v>85228</v>
      </c>
      <c r="K185" s="34">
        <f t="shared" si="19"/>
        <v>12784.199999999997</v>
      </c>
      <c r="L185" s="33" t="s">
        <v>351</v>
      </c>
      <c r="M185" s="34" t="s">
        <v>359</v>
      </c>
      <c r="N185" s="34" t="str">
        <f>TEXT(Table1[[#This Row],[Date]],"mmm")</f>
        <v>Aug</v>
      </c>
    </row>
    <row r="186" spans="1:14" x14ac:dyDescent="0.3">
      <c r="A186" s="12" t="s">
        <v>193</v>
      </c>
      <c r="B186" s="13">
        <v>45510</v>
      </c>
      <c r="C186" s="12" t="s">
        <v>15</v>
      </c>
      <c r="D186" s="12" t="s">
        <v>4</v>
      </c>
      <c r="E186" s="12" t="s">
        <v>73</v>
      </c>
      <c r="F186" s="12">
        <v>2</v>
      </c>
      <c r="G186" s="35">
        <v>3848.8</v>
      </c>
      <c r="H186" s="35">
        <v>4528</v>
      </c>
      <c r="I186" s="14">
        <f t="shared" si="18"/>
        <v>7697.6</v>
      </c>
      <c r="J186" s="14">
        <v>9056</v>
      </c>
      <c r="K186" s="15">
        <f t="shared" si="19"/>
        <v>1358.3999999999996</v>
      </c>
      <c r="L186" s="14" t="s">
        <v>364</v>
      </c>
      <c r="M186" s="15" t="s">
        <v>378</v>
      </c>
      <c r="N186" s="15" t="str">
        <f>TEXT(Table1[[#This Row],[Date]],"mmm")</f>
        <v>Aug</v>
      </c>
    </row>
    <row r="187" spans="1:14" x14ac:dyDescent="0.3">
      <c r="A187" s="30" t="s">
        <v>248</v>
      </c>
      <c r="B187" s="31">
        <v>45510</v>
      </c>
      <c r="C187" s="30" t="s">
        <v>3</v>
      </c>
      <c r="D187" s="30" t="s">
        <v>37</v>
      </c>
      <c r="E187" s="32" t="s">
        <v>73</v>
      </c>
      <c r="F187" s="30">
        <v>2</v>
      </c>
      <c r="G187" s="38">
        <v>34874.82</v>
      </c>
      <c r="H187" s="38">
        <v>40086</v>
      </c>
      <c r="I187" s="33">
        <f t="shared" si="18"/>
        <v>69749.64</v>
      </c>
      <c r="J187" s="33">
        <v>80172</v>
      </c>
      <c r="K187" s="34">
        <f t="shared" si="19"/>
        <v>10422.36</v>
      </c>
      <c r="L187" s="33" t="s">
        <v>345</v>
      </c>
      <c r="M187" s="34" t="s">
        <v>358</v>
      </c>
      <c r="N187" s="34" t="str">
        <f>TEXT(Table1[[#This Row],[Date]],"mmm")</f>
        <v>Aug</v>
      </c>
    </row>
    <row r="188" spans="1:14" x14ac:dyDescent="0.3">
      <c r="A188" s="8" t="s">
        <v>182</v>
      </c>
      <c r="B188" s="9">
        <v>45513</v>
      </c>
      <c r="C188" s="8" t="s">
        <v>6</v>
      </c>
      <c r="D188" s="8" t="s">
        <v>20</v>
      </c>
      <c r="E188" s="8" t="s">
        <v>73</v>
      </c>
      <c r="F188" s="8">
        <v>2</v>
      </c>
      <c r="G188" s="36">
        <v>5927.12</v>
      </c>
      <c r="H188" s="36">
        <v>6892</v>
      </c>
      <c r="I188" s="10">
        <f t="shared" si="18"/>
        <v>11854.24</v>
      </c>
      <c r="J188" s="10">
        <v>13784</v>
      </c>
      <c r="K188" s="11">
        <f t="shared" si="19"/>
        <v>1929.7600000000002</v>
      </c>
      <c r="L188" s="10" t="s">
        <v>364</v>
      </c>
      <c r="M188" s="11" t="s">
        <v>371</v>
      </c>
      <c r="N188" s="11" t="str">
        <f>TEXT(Table1[[#This Row],[Date]],"mmm")</f>
        <v>Aug</v>
      </c>
    </row>
    <row r="189" spans="1:14" x14ac:dyDescent="0.3">
      <c r="A189" s="30" t="s">
        <v>128</v>
      </c>
      <c r="B189" s="31">
        <v>45514</v>
      </c>
      <c r="C189" s="30" t="s">
        <v>6</v>
      </c>
      <c r="D189" s="30" t="s">
        <v>20</v>
      </c>
      <c r="E189" s="32" t="s">
        <v>73</v>
      </c>
      <c r="F189" s="30">
        <v>6</v>
      </c>
      <c r="G189" s="38">
        <v>35192</v>
      </c>
      <c r="H189" s="38">
        <v>43990</v>
      </c>
      <c r="I189" s="33">
        <f t="shared" si="18"/>
        <v>211152</v>
      </c>
      <c r="J189" s="33">
        <v>263940</v>
      </c>
      <c r="K189" s="34">
        <f t="shared" si="19"/>
        <v>52788</v>
      </c>
      <c r="L189" s="33" t="s">
        <v>348</v>
      </c>
      <c r="M189" s="34" t="s">
        <v>349</v>
      </c>
      <c r="N189" s="34" t="str">
        <f>TEXT(Table1[[#This Row],[Date]],"mmm")</f>
        <v>Aug</v>
      </c>
    </row>
    <row r="190" spans="1:14" x14ac:dyDescent="0.3">
      <c r="A190" s="12" t="s">
        <v>299</v>
      </c>
      <c r="B190" s="13">
        <v>45514</v>
      </c>
      <c r="C190" s="12" t="s">
        <v>35</v>
      </c>
      <c r="D190" s="12" t="s">
        <v>20</v>
      </c>
      <c r="E190" s="12" t="s">
        <v>73</v>
      </c>
      <c r="F190" s="12">
        <v>4</v>
      </c>
      <c r="G190" s="35">
        <v>38601.64</v>
      </c>
      <c r="H190" s="35">
        <v>46508</v>
      </c>
      <c r="I190" s="14">
        <f t="shared" si="18"/>
        <v>154406.56</v>
      </c>
      <c r="J190" s="14">
        <v>186032</v>
      </c>
      <c r="K190" s="15">
        <f t="shared" si="19"/>
        <v>31625.440000000002</v>
      </c>
      <c r="L190" s="14" t="s">
        <v>348</v>
      </c>
      <c r="M190" s="15" t="s">
        <v>349</v>
      </c>
      <c r="N190" s="15" t="str">
        <f>TEXT(Table1[[#This Row],[Date]],"mmm")</f>
        <v>Aug</v>
      </c>
    </row>
    <row r="191" spans="1:14" x14ac:dyDescent="0.3">
      <c r="A191" s="30" t="s">
        <v>172</v>
      </c>
      <c r="B191" s="31">
        <v>45515</v>
      </c>
      <c r="C191" s="30" t="s">
        <v>3</v>
      </c>
      <c r="D191" s="30" t="s">
        <v>28</v>
      </c>
      <c r="E191" s="32" t="s">
        <v>72</v>
      </c>
      <c r="F191" s="30">
        <v>10</v>
      </c>
      <c r="G191" s="38">
        <v>3583.44</v>
      </c>
      <c r="H191" s="38">
        <v>4424</v>
      </c>
      <c r="I191" s="33">
        <f t="shared" si="18"/>
        <v>35834.400000000001</v>
      </c>
      <c r="J191" s="33">
        <v>44240</v>
      </c>
      <c r="K191" s="34">
        <f t="shared" si="19"/>
        <v>8405.5999999999985</v>
      </c>
      <c r="L191" s="33" t="s">
        <v>345</v>
      </c>
      <c r="M191" s="34" t="s">
        <v>358</v>
      </c>
      <c r="N191" s="34" t="str">
        <f>TEXT(Table1[[#This Row],[Date]],"mmm")</f>
        <v>Aug</v>
      </c>
    </row>
    <row r="192" spans="1:14" x14ac:dyDescent="0.3">
      <c r="A192" s="8" t="s">
        <v>222</v>
      </c>
      <c r="B192" s="9">
        <v>45516</v>
      </c>
      <c r="C192" s="8" t="s">
        <v>3</v>
      </c>
      <c r="D192" s="8" t="s">
        <v>37</v>
      </c>
      <c r="E192" s="8" t="s">
        <v>73</v>
      </c>
      <c r="F192" s="8">
        <v>1</v>
      </c>
      <c r="G192" s="36">
        <v>7068.87</v>
      </c>
      <c r="H192" s="36">
        <v>8727</v>
      </c>
      <c r="I192" s="10">
        <f t="shared" si="18"/>
        <v>7068.87</v>
      </c>
      <c r="J192" s="10">
        <v>8727</v>
      </c>
      <c r="K192" s="11">
        <f t="shared" si="19"/>
        <v>1658.13</v>
      </c>
      <c r="L192" s="10" t="s">
        <v>343</v>
      </c>
      <c r="M192" s="11" t="s">
        <v>376</v>
      </c>
      <c r="N192" s="11" t="str">
        <f>TEXT(Table1[[#This Row],[Date]],"mmm")</f>
        <v>Aug</v>
      </c>
    </row>
    <row r="193" spans="1:14" x14ac:dyDescent="0.3">
      <c r="A193" s="30" t="s">
        <v>39</v>
      </c>
      <c r="B193" s="31">
        <v>45519</v>
      </c>
      <c r="C193" s="30" t="s">
        <v>6</v>
      </c>
      <c r="D193" s="30" t="s">
        <v>37</v>
      </c>
      <c r="E193" s="32" t="s">
        <v>73</v>
      </c>
      <c r="F193" s="30">
        <v>10</v>
      </c>
      <c r="G193" s="38">
        <v>40663.360000000001</v>
      </c>
      <c r="H193" s="38">
        <v>48992</v>
      </c>
      <c r="I193" s="33">
        <f>'01.Table'!$G24*'01.Table'!$F24</f>
        <v>70057</v>
      </c>
      <c r="J193" s="33">
        <v>489920</v>
      </c>
      <c r="K193" s="34">
        <f>'01.Table'!$J24-'01.Table'!$I24</f>
        <v>-89005.799999999988</v>
      </c>
      <c r="L193" s="33" t="s">
        <v>364</v>
      </c>
      <c r="M193" s="34" t="s">
        <v>368</v>
      </c>
      <c r="N193" s="34" t="str">
        <f>TEXT(Table1[[#This Row],[Date]],"mmm")</f>
        <v>Aug</v>
      </c>
    </row>
    <row r="194" spans="1:14" x14ac:dyDescent="0.3">
      <c r="A194" s="8" t="s">
        <v>230</v>
      </c>
      <c r="B194" s="9">
        <v>45521</v>
      </c>
      <c r="C194" s="8" t="s">
        <v>8</v>
      </c>
      <c r="D194" s="8" t="s">
        <v>13</v>
      </c>
      <c r="E194" s="8" t="s">
        <v>72</v>
      </c>
      <c r="F194" s="8">
        <v>2</v>
      </c>
      <c r="G194" s="36">
        <v>19074.849999999999</v>
      </c>
      <c r="H194" s="36">
        <v>22441</v>
      </c>
      <c r="I194" s="10">
        <f>F194*G194</f>
        <v>38149.699999999997</v>
      </c>
      <c r="J194" s="10">
        <v>44882</v>
      </c>
      <c r="K194" s="11">
        <f>J194-I194</f>
        <v>6732.3000000000029</v>
      </c>
      <c r="L194" s="10" t="s">
        <v>351</v>
      </c>
      <c r="M194" s="11" t="s">
        <v>359</v>
      </c>
      <c r="N194" s="11" t="str">
        <f>TEXT(Table1[[#This Row],[Date]],"mmm")</f>
        <v>Aug</v>
      </c>
    </row>
    <row r="195" spans="1:14" x14ac:dyDescent="0.3">
      <c r="A195" s="16" t="s">
        <v>245</v>
      </c>
      <c r="B195" s="17">
        <v>45521</v>
      </c>
      <c r="C195" s="16" t="s">
        <v>31</v>
      </c>
      <c r="D195" s="16" t="s">
        <v>44</v>
      </c>
      <c r="E195" s="19" t="s">
        <v>73</v>
      </c>
      <c r="F195" s="16">
        <v>3</v>
      </c>
      <c r="G195" s="37">
        <v>32736.04</v>
      </c>
      <c r="H195" s="37">
        <v>39922</v>
      </c>
      <c r="I195" s="18">
        <f>F195*G195</f>
        <v>98208.12</v>
      </c>
      <c r="J195" s="18">
        <v>119766</v>
      </c>
      <c r="K195" s="20">
        <f>J195-I195</f>
        <v>21557.880000000005</v>
      </c>
      <c r="L195" s="18" t="s">
        <v>351</v>
      </c>
      <c r="M195" s="20" t="s">
        <v>380</v>
      </c>
      <c r="N195" s="20" t="str">
        <f>TEXT(Table1[[#This Row],[Date]],"mmm")</f>
        <v>Aug</v>
      </c>
    </row>
    <row r="196" spans="1:14" x14ac:dyDescent="0.3">
      <c r="A196" s="8" t="s">
        <v>140</v>
      </c>
      <c r="B196" s="9">
        <v>45523</v>
      </c>
      <c r="C196" s="8" t="s">
        <v>3</v>
      </c>
      <c r="D196" s="8" t="s">
        <v>60</v>
      </c>
      <c r="E196" s="8" t="s">
        <v>72</v>
      </c>
      <c r="F196" s="8">
        <v>5</v>
      </c>
      <c r="G196" s="36">
        <v>3187.8</v>
      </c>
      <c r="H196" s="36">
        <v>3542</v>
      </c>
      <c r="I196" s="10">
        <f>F196*G196</f>
        <v>15939</v>
      </c>
      <c r="J196" s="10">
        <v>17710</v>
      </c>
      <c r="K196" s="11">
        <f>J196-I196</f>
        <v>1771</v>
      </c>
      <c r="L196" s="10" t="s">
        <v>343</v>
      </c>
      <c r="M196" s="11" t="s">
        <v>344</v>
      </c>
      <c r="N196" s="11" t="str">
        <f>TEXT(Table1[[#This Row],[Date]],"mmm")</f>
        <v>Aug</v>
      </c>
    </row>
    <row r="197" spans="1:14" x14ac:dyDescent="0.3">
      <c r="A197" s="30" t="s">
        <v>56</v>
      </c>
      <c r="B197" s="31">
        <v>45525</v>
      </c>
      <c r="C197" s="30" t="s">
        <v>3</v>
      </c>
      <c r="D197" s="30" t="s">
        <v>49</v>
      </c>
      <c r="E197" s="32" t="s">
        <v>72</v>
      </c>
      <c r="F197" s="30">
        <v>1</v>
      </c>
      <c r="G197" s="38">
        <v>13576.82</v>
      </c>
      <c r="H197" s="38">
        <v>15787</v>
      </c>
      <c r="I197" s="33">
        <f>'01.Table'!$G38*'01.Table'!$F38</f>
        <v>65178</v>
      </c>
      <c r="J197" s="33">
        <v>15787</v>
      </c>
      <c r="K197" s="34">
        <f>'01.Table'!$J38-'01.Table'!$I38</f>
        <v>7242</v>
      </c>
      <c r="L197" s="33" t="s">
        <v>343</v>
      </c>
      <c r="M197" s="34" t="s">
        <v>376</v>
      </c>
      <c r="N197" s="34" t="str">
        <f>TEXT(Table1[[#This Row],[Date]],"mmm")</f>
        <v>Aug</v>
      </c>
    </row>
    <row r="198" spans="1:14" x14ac:dyDescent="0.3">
      <c r="A198" s="8" t="s">
        <v>23</v>
      </c>
      <c r="B198" s="9">
        <v>45529</v>
      </c>
      <c r="C198" s="8" t="s">
        <v>24</v>
      </c>
      <c r="D198" s="8" t="s">
        <v>20</v>
      </c>
      <c r="E198" s="8" t="s">
        <v>73</v>
      </c>
      <c r="F198" s="8">
        <v>6</v>
      </c>
      <c r="G198" s="36">
        <v>8266.4</v>
      </c>
      <c r="H198" s="36">
        <v>10333</v>
      </c>
      <c r="I198" s="10">
        <f>'01.Table'!$G14*'01.Table'!$F14</f>
        <v>71964</v>
      </c>
      <c r="J198" s="10">
        <v>61998</v>
      </c>
      <c r="K198" s="11">
        <f>'01.Table'!$J14-'01.Table'!$I14</f>
        <v>17991</v>
      </c>
      <c r="L198" s="10" t="s">
        <v>345</v>
      </c>
      <c r="M198" s="11" t="s">
        <v>347</v>
      </c>
      <c r="N198" s="11" t="str">
        <f>TEXT(Table1[[#This Row],[Date]],"mmm")</f>
        <v>Aug</v>
      </c>
    </row>
    <row r="199" spans="1:14" x14ac:dyDescent="0.3">
      <c r="A199" s="16" t="s">
        <v>119</v>
      </c>
      <c r="B199" s="17">
        <v>45529</v>
      </c>
      <c r="C199" s="16" t="s">
        <v>35</v>
      </c>
      <c r="D199" s="16" t="s">
        <v>28</v>
      </c>
      <c r="E199" s="19" t="s">
        <v>73</v>
      </c>
      <c r="F199" s="16">
        <v>2</v>
      </c>
      <c r="G199" s="37">
        <v>24426</v>
      </c>
      <c r="H199" s="37">
        <v>26550</v>
      </c>
      <c r="I199" s="18">
        <f>F199*G199</f>
        <v>48852</v>
      </c>
      <c r="J199" s="18">
        <v>53100</v>
      </c>
      <c r="K199" s="20">
        <f>J199-I199</f>
        <v>4248</v>
      </c>
      <c r="L199" s="18" t="s">
        <v>364</v>
      </c>
      <c r="M199" s="20" t="s">
        <v>368</v>
      </c>
      <c r="N199" s="20" t="str">
        <f>TEXT(Table1[[#This Row],[Date]],"mmm")</f>
        <v>Aug</v>
      </c>
    </row>
    <row r="200" spans="1:14" x14ac:dyDescent="0.3">
      <c r="A200" s="12" t="s">
        <v>215</v>
      </c>
      <c r="B200" s="13">
        <v>45530</v>
      </c>
      <c r="C200" s="12" t="s">
        <v>31</v>
      </c>
      <c r="D200" s="12" t="s">
        <v>13</v>
      </c>
      <c r="E200" s="12" t="s">
        <v>73</v>
      </c>
      <c r="F200" s="12">
        <v>7</v>
      </c>
      <c r="G200" s="35">
        <v>12734.54</v>
      </c>
      <c r="H200" s="35">
        <v>13994</v>
      </c>
      <c r="I200" s="14">
        <f>F200*G200</f>
        <v>89141.78</v>
      </c>
      <c r="J200" s="14">
        <v>97958</v>
      </c>
      <c r="K200" s="15">
        <f>J200-I200</f>
        <v>8816.2200000000012</v>
      </c>
      <c r="L200" s="14" t="s">
        <v>345</v>
      </c>
      <c r="M200" s="15" t="s">
        <v>370</v>
      </c>
      <c r="N200" s="15" t="str">
        <f>TEXT(Table1[[#This Row],[Date]],"mmm")</f>
        <v>Aug</v>
      </c>
    </row>
    <row r="201" spans="1:14" x14ac:dyDescent="0.3">
      <c r="A201" s="30" t="s">
        <v>324</v>
      </c>
      <c r="B201" s="31">
        <v>45532</v>
      </c>
      <c r="C201" s="30" t="s">
        <v>8</v>
      </c>
      <c r="D201" s="30" t="s">
        <v>37</v>
      </c>
      <c r="E201" s="32" t="s">
        <v>72</v>
      </c>
      <c r="F201" s="30">
        <v>6</v>
      </c>
      <c r="G201" s="38">
        <v>7477.68</v>
      </c>
      <c r="H201" s="38">
        <v>8902</v>
      </c>
      <c r="I201" s="33">
        <f>F201*G201</f>
        <v>44866.080000000002</v>
      </c>
      <c r="J201" s="33">
        <v>53412</v>
      </c>
      <c r="K201" s="34">
        <f>J201-I201</f>
        <v>8545.9199999999983</v>
      </c>
      <c r="L201" s="33" t="s">
        <v>364</v>
      </c>
      <c r="M201" s="34" t="s">
        <v>382</v>
      </c>
      <c r="N201" s="34" t="str">
        <f>TEXT(Table1[[#This Row],[Date]],"mmm")</f>
        <v>Aug</v>
      </c>
    </row>
    <row r="202" spans="1:14" x14ac:dyDescent="0.3">
      <c r="A202" s="8" t="s">
        <v>90</v>
      </c>
      <c r="B202" s="9">
        <v>45534</v>
      </c>
      <c r="C202" s="8" t="s">
        <v>24</v>
      </c>
      <c r="D202" s="8" t="s">
        <v>4</v>
      </c>
      <c r="E202" s="8" t="s">
        <v>73</v>
      </c>
      <c r="F202" s="8">
        <v>9</v>
      </c>
      <c r="G202" s="36">
        <v>10039.959999999999</v>
      </c>
      <c r="H202" s="36">
        <v>10913</v>
      </c>
      <c r="I202" s="10">
        <f>F202*G202</f>
        <v>90359.639999999985</v>
      </c>
      <c r="J202" s="10">
        <v>98217</v>
      </c>
      <c r="K202" s="11">
        <f>J202-I202</f>
        <v>7857.3600000000151</v>
      </c>
      <c r="L202" s="10" t="s">
        <v>351</v>
      </c>
      <c r="M202" s="11" t="s">
        <v>362</v>
      </c>
      <c r="N202" s="11" t="str">
        <f>TEXT(Table1[[#This Row],[Date]],"mmm")</f>
        <v>Aug</v>
      </c>
    </row>
    <row r="203" spans="1:14" x14ac:dyDescent="0.3">
      <c r="A203" s="16" t="s">
        <v>53</v>
      </c>
      <c r="B203" s="17">
        <v>45536</v>
      </c>
      <c r="C203" s="16" t="s">
        <v>24</v>
      </c>
      <c r="D203" s="16" t="s">
        <v>49</v>
      </c>
      <c r="E203" s="19" t="s">
        <v>73</v>
      </c>
      <c r="F203" s="16">
        <v>8</v>
      </c>
      <c r="G203" s="37">
        <v>28018.58</v>
      </c>
      <c r="H203" s="37">
        <v>34169</v>
      </c>
      <c r="I203" s="18">
        <f>'01.Table'!$G35*'01.Table'!$F35</f>
        <v>23266.799999999999</v>
      </c>
      <c r="J203" s="18">
        <v>273352</v>
      </c>
      <c r="K203" s="20">
        <f>'01.Table'!$J35-'01.Table'!$I35</f>
        <v>2585.2000000000007</v>
      </c>
      <c r="L203" s="18" t="s">
        <v>355</v>
      </c>
      <c r="M203" s="20" t="s">
        <v>374</v>
      </c>
      <c r="N203" s="20" t="str">
        <f>TEXT(Table1[[#This Row],[Date]],"mmm")</f>
        <v>Sep</v>
      </c>
    </row>
    <row r="204" spans="1:14" x14ac:dyDescent="0.3">
      <c r="A204" s="12" t="s">
        <v>211</v>
      </c>
      <c r="B204" s="13">
        <v>45536</v>
      </c>
      <c r="C204" s="12" t="s">
        <v>31</v>
      </c>
      <c r="D204" s="12" t="s">
        <v>20</v>
      </c>
      <c r="E204" s="12" t="s">
        <v>72</v>
      </c>
      <c r="F204" s="12">
        <v>6</v>
      </c>
      <c r="G204" s="35">
        <v>35413.56</v>
      </c>
      <c r="H204" s="35">
        <v>38493</v>
      </c>
      <c r="I204" s="14">
        <f t="shared" ref="I204:I213" si="20">F204*G204</f>
        <v>212481.36</v>
      </c>
      <c r="J204" s="14">
        <v>230958</v>
      </c>
      <c r="K204" s="15">
        <f t="shared" ref="K204:K213" si="21">J204-I204</f>
        <v>18476.640000000014</v>
      </c>
      <c r="L204" s="14" t="s">
        <v>351</v>
      </c>
      <c r="M204" s="15" t="s">
        <v>352</v>
      </c>
      <c r="N204" s="15" t="str">
        <f>TEXT(Table1[[#This Row],[Date]],"mmm")</f>
        <v>Sep</v>
      </c>
    </row>
    <row r="205" spans="1:14" x14ac:dyDescent="0.3">
      <c r="A205" s="30" t="s">
        <v>304</v>
      </c>
      <c r="B205" s="31">
        <v>45538</v>
      </c>
      <c r="C205" s="30" t="s">
        <v>35</v>
      </c>
      <c r="D205" s="30" t="s">
        <v>37</v>
      </c>
      <c r="E205" s="32" t="s">
        <v>73</v>
      </c>
      <c r="F205" s="30">
        <v>6</v>
      </c>
      <c r="G205" s="38">
        <v>21319.760000000002</v>
      </c>
      <c r="H205" s="38">
        <v>24227</v>
      </c>
      <c r="I205" s="33">
        <f t="shared" si="20"/>
        <v>127918.56000000001</v>
      </c>
      <c r="J205" s="33">
        <v>145362</v>
      </c>
      <c r="K205" s="34">
        <f t="shared" si="21"/>
        <v>17443.439999999988</v>
      </c>
      <c r="L205" s="33" t="s">
        <v>343</v>
      </c>
      <c r="M205" s="34" t="s">
        <v>381</v>
      </c>
      <c r="N205" s="34" t="str">
        <f>TEXT(Table1[[#This Row],[Date]],"mmm")</f>
        <v>Sep</v>
      </c>
    </row>
    <row r="206" spans="1:14" x14ac:dyDescent="0.3">
      <c r="A206" s="12" t="s">
        <v>111</v>
      </c>
      <c r="B206" s="13">
        <v>45540</v>
      </c>
      <c r="C206" s="12" t="s">
        <v>26</v>
      </c>
      <c r="D206" s="12" t="s">
        <v>60</v>
      </c>
      <c r="E206" s="12" t="s">
        <v>73</v>
      </c>
      <c r="F206" s="12">
        <v>3</v>
      </c>
      <c r="G206" s="35">
        <v>24003.54</v>
      </c>
      <c r="H206" s="35">
        <v>29634</v>
      </c>
      <c r="I206" s="14">
        <f t="shared" si="20"/>
        <v>72010.62</v>
      </c>
      <c r="J206" s="14">
        <v>88902</v>
      </c>
      <c r="K206" s="15">
        <f t="shared" si="21"/>
        <v>16891.380000000005</v>
      </c>
      <c r="L206" s="14" t="s">
        <v>348</v>
      </c>
      <c r="M206" s="15" t="s">
        <v>349</v>
      </c>
      <c r="N206" s="15" t="str">
        <f>TEXT(Table1[[#This Row],[Date]],"mmm")</f>
        <v>Sep</v>
      </c>
    </row>
    <row r="207" spans="1:14" x14ac:dyDescent="0.3">
      <c r="A207" s="30" t="s">
        <v>126</v>
      </c>
      <c r="B207" s="31">
        <v>45540</v>
      </c>
      <c r="C207" s="30" t="s">
        <v>3</v>
      </c>
      <c r="D207" s="30" t="s">
        <v>37</v>
      </c>
      <c r="E207" s="32" t="s">
        <v>72</v>
      </c>
      <c r="F207" s="30">
        <v>2</v>
      </c>
      <c r="G207" s="38">
        <v>43699.5</v>
      </c>
      <c r="H207" s="38">
        <v>48555</v>
      </c>
      <c r="I207" s="33">
        <f t="shared" si="20"/>
        <v>87399</v>
      </c>
      <c r="J207" s="33">
        <v>97110</v>
      </c>
      <c r="K207" s="34">
        <f t="shared" si="21"/>
        <v>9711</v>
      </c>
      <c r="L207" s="33" t="s">
        <v>348</v>
      </c>
      <c r="M207" s="34" t="s">
        <v>367</v>
      </c>
      <c r="N207" s="34" t="str">
        <f>TEXT(Table1[[#This Row],[Date]],"mmm")</f>
        <v>Sep</v>
      </c>
    </row>
    <row r="208" spans="1:14" x14ac:dyDescent="0.3">
      <c r="A208" s="8" t="s">
        <v>176</v>
      </c>
      <c r="B208" s="9">
        <v>45541</v>
      </c>
      <c r="C208" s="8" t="s">
        <v>31</v>
      </c>
      <c r="D208" s="8" t="s">
        <v>20</v>
      </c>
      <c r="E208" s="8" t="s">
        <v>72</v>
      </c>
      <c r="F208" s="8">
        <v>1</v>
      </c>
      <c r="G208" s="36">
        <v>18508.22</v>
      </c>
      <c r="H208" s="36">
        <v>22571</v>
      </c>
      <c r="I208" s="10">
        <f t="shared" si="20"/>
        <v>18508.22</v>
      </c>
      <c r="J208" s="10">
        <v>22571</v>
      </c>
      <c r="K208" s="11">
        <f t="shared" si="21"/>
        <v>4062.7799999999988</v>
      </c>
      <c r="L208" s="10" t="s">
        <v>345</v>
      </c>
      <c r="M208" s="11" t="s">
        <v>347</v>
      </c>
      <c r="N208" s="11" t="str">
        <f>TEXT(Table1[[#This Row],[Date]],"mmm")</f>
        <v>Sep</v>
      </c>
    </row>
    <row r="209" spans="1:14" x14ac:dyDescent="0.3">
      <c r="A209" s="16" t="s">
        <v>213</v>
      </c>
      <c r="B209" s="17">
        <v>45541</v>
      </c>
      <c r="C209" s="16" t="s">
        <v>35</v>
      </c>
      <c r="D209" s="16" t="s">
        <v>20</v>
      </c>
      <c r="E209" s="19" t="s">
        <v>73</v>
      </c>
      <c r="F209" s="16">
        <v>8</v>
      </c>
      <c r="G209" s="37">
        <v>9360.36</v>
      </c>
      <c r="H209" s="37">
        <v>11556</v>
      </c>
      <c r="I209" s="18">
        <f t="shared" si="20"/>
        <v>74882.880000000005</v>
      </c>
      <c r="J209" s="18">
        <v>92448</v>
      </c>
      <c r="K209" s="20">
        <f t="shared" si="21"/>
        <v>17565.119999999995</v>
      </c>
      <c r="L209" s="18" t="s">
        <v>345</v>
      </c>
      <c r="M209" s="20" t="s">
        <v>346</v>
      </c>
      <c r="N209" s="20" t="str">
        <f>TEXT(Table1[[#This Row],[Date]],"mmm")</f>
        <v>Sep</v>
      </c>
    </row>
    <row r="210" spans="1:14" x14ac:dyDescent="0.3">
      <c r="A210" s="8" t="s">
        <v>272</v>
      </c>
      <c r="B210" s="9">
        <v>45542</v>
      </c>
      <c r="C210" s="8" t="s">
        <v>15</v>
      </c>
      <c r="D210" s="8" t="s">
        <v>37</v>
      </c>
      <c r="E210" s="8" t="s">
        <v>72</v>
      </c>
      <c r="F210" s="8">
        <v>3</v>
      </c>
      <c r="G210" s="36">
        <v>30941.4</v>
      </c>
      <c r="H210" s="36">
        <v>36835</v>
      </c>
      <c r="I210" s="10">
        <f t="shared" si="20"/>
        <v>92824.200000000012</v>
      </c>
      <c r="J210" s="10">
        <v>110505</v>
      </c>
      <c r="K210" s="11">
        <f t="shared" si="21"/>
        <v>17680.799999999988</v>
      </c>
      <c r="L210" s="10" t="s">
        <v>343</v>
      </c>
      <c r="M210" s="11" t="s">
        <v>376</v>
      </c>
      <c r="N210" s="11" t="str">
        <f>TEXT(Table1[[#This Row],[Date]],"mmm")</f>
        <v>Sep</v>
      </c>
    </row>
    <row r="211" spans="1:14" x14ac:dyDescent="0.3">
      <c r="A211" s="16" t="s">
        <v>203</v>
      </c>
      <c r="B211" s="17">
        <v>45543</v>
      </c>
      <c r="C211" s="16" t="s">
        <v>8</v>
      </c>
      <c r="D211" s="16" t="s">
        <v>4</v>
      </c>
      <c r="E211" s="19" t="s">
        <v>72</v>
      </c>
      <c r="F211" s="16">
        <v>3</v>
      </c>
      <c r="G211" s="37">
        <v>11008.98</v>
      </c>
      <c r="H211" s="37">
        <v>12654</v>
      </c>
      <c r="I211" s="18">
        <f t="shared" si="20"/>
        <v>33026.94</v>
      </c>
      <c r="J211" s="18">
        <v>37962</v>
      </c>
      <c r="K211" s="20">
        <f t="shared" si="21"/>
        <v>4935.0599999999977</v>
      </c>
      <c r="L211" s="18" t="s">
        <v>355</v>
      </c>
      <c r="M211" s="20" t="s">
        <v>379</v>
      </c>
      <c r="N211" s="20" t="str">
        <f>TEXT(Table1[[#This Row],[Date]],"mmm")</f>
        <v>Sep</v>
      </c>
    </row>
    <row r="212" spans="1:14" x14ac:dyDescent="0.3">
      <c r="A212" s="8" t="s">
        <v>334</v>
      </c>
      <c r="B212" s="9">
        <v>45545</v>
      </c>
      <c r="C212" s="8" t="s">
        <v>10</v>
      </c>
      <c r="D212" s="8" t="s">
        <v>44</v>
      </c>
      <c r="E212" s="8" t="s">
        <v>72</v>
      </c>
      <c r="F212" s="8">
        <v>6</v>
      </c>
      <c r="G212" s="36">
        <v>36360.44</v>
      </c>
      <c r="H212" s="36">
        <v>44342</v>
      </c>
      <c r="I212" s="10">
        <f t="shared" si="20"/>
        <v>218162.64</v>
      </c>
      <c r="J212" s="10">
        <v>266052</v>
      </c>
      <c r="K212" s="11">
        <f t="shared" si="21"/>
        <v>47889.359999999986</v>
      </c>
      <c r="L212" s="10" t="s">
        <v>348</v>
      </c>
      <c r="M212" s="11" t="s">
        <v>354</v>
      </c>
      <c r="N212" s="11" t="str">
        <f>TEXT(Table1[[#This Row],[Date]],"mmm")</f>
        <v>Sep</v>
      </c>
    </row>
    <row r="213" spans="1:14" x14ac:dyDescent="0.3">
      <c r="A213" s="30" t="s">
        <v>144</v>
      </c>
      <c r="B213" s="31">
        <v>45547</v>
      </c>
      <c r="C213" s="30" t="s">
        <v>15</v>
      </c>
      <c r="D213" s="30" t="s">
        <v>44</v>
      </c>
      <c r="E213" s="32" t="s">
        <v>73</v>
      </c>
      <c r="F213" s="30">
        <v>1</v>
      </c>
      <c r="G213" s="38">
        <v>22036.559999999998</v>
      </c>
      <c r="H213" s="38">
        <v>26234</v>
      </c>
      <c r="I213" s="33">
        <f t="shared" si="20"/>
        <v>22036.559999999998</v>
      </c>
      <c r="J213" s="33">
        <v>26234</v>
      </c>
      <c r="K213" s="34">
        <f t="shared" si="21"/>
        <v>4197.4400000000023</v>
      </c>
      <c r="L213" s="33" t="s">
        <v>355</v>
      </c>
      <c r="M213" s="34" t="s">
        <v>363</v>
      </c>
      <c r="N213" s="34" t="str">
        <f>TEXT(Table1[[#This Row],[Date]],"mmm")</f>
        <v>Sep</v>
      </c>
    </row>
    <row r="214" spans="1:14" x14ac:dyDescent="0.3">
      <c r="A214" s="8" t="s">
        <v>30</v>
      </c>
      <c r="B214" s="9">
        <v>45550</v>
      </c>
      <c r="C214" s="8" t="s">
        <v>31</v>
      </c>
      <c r="D214" s="8" t="s">
        <v>28</v>
      </c>
      <c r="E214" s="8" t="s">
        <v>73</v>
      </c>
      <c r="F214" s="8">
        <v>2</v>
      </c>
      <c r="G214" s="36">
        <v>35447.4</v>
      </c>
      <c r="H214" s="36">
        <v>39386</v>
      </c>
      <c r="I214" s="10">
        <f>'01.Table'!$G18*'01.Table'!$F18</f>
        <v>161130.04999999999</v>
      </c>
      <c r="J214" s="10">
        <v>78772</v>
      </c>
      <c r="K214" s="11">
        <f>'01.Table'!$J18-'01.Table'!$I18</f>
        <v>19914.950000000012</v>
      </c>
      <c r="L214" s="10" t="s">
        <v>351</v>
      </c>
      <c r="M214" s="11" t="s">
        <v>352</v>
      </c>
      <c r="N214" s="11" t="str">
        <f>TEXT(Table1[[#This Row],[Date]],"mmm")</f>
        <v>Sep</v>
      </c>
    </row>
    <row r="215" spans="1:14" x14ac:dyDescent="0.3">
      <c r="A215" s="16" t="s">
        <v>55</v>
      </c>
      <c r="B215" s="17">
        <v>45553</v>
      </c>
      <c r="C215" s="16" t="s">
        <v>3</v>
      </c>
      <c r="D215" s="16" t="s">
        <v>49</v>
      </c>
      <c r="E215" s="19" t="s">
        <v>72</v>
      </c>
      <c r="F215" s="16">
        <v>7</v>
      </c>
      <c r="G215" s="37">
        <v>26469</v>
      </c>
      <c r="H215" s="37">
        <v>31140</v>
      </c>
      <c r="I215" s="18">
        <f>'01.Table'!$G37*'01.Table'!$F37</f>
        <v>161793.25</v>
      </c>
      <c r="J215" s="18">
        <v>217980</v>
      </c>
      <c r="K215" s="20">
        <f>'01.Table'!$J37-'01.Table'!$I37</f>
        <v>28551.75</v>
      </c>
      <c r="L215" s="18" t="s">
        <v>345</v>
      </c>
      <c r="M215" s="20" t="s">
        <v>370</v>
      </c>
      <c r="N215" s="20" t="str">
        <f>TEXT(Table1[[#This Row],[Date]],"mmm")</f>
        <v>Sep</v>
      </c>
    </row>
    <row r="216" spans="1:14" x14ac:dyDescent="0.3">
      <c r="A216" s="8" t="s">
        <v>228</v>
      </c>
      <c r="B216" s="9">
        <v>45553</v>
      </c>
      <c r="C216" s="8" t="s">
        <v>6</v>
      </c>
      <c r="D216" s="8" t="s">
        <v>13</v>
      </c>
      <c r="E216" s="8" t="s">
        <v>73</v>
      </c>
      <c r="F216" s="8">
        <v>10</v>
      </c>
      <c r="G216" s="36">
        <v>11943.68</v>
      </c>
      <c r="H216" s="36">
        <v>13888</v>
      </c>
      <c r="I216" s="10">
        <f>F216*G216</f>
        <v>119436.8</v>
      </c>
      <c r="J216" s="10">
        <v>138880</v>
      </c>
      <c r="K216" s="11">
        <f>J216-I216</f>
        <v>19443.199999999997</v>
      </c>
      <c r="L216" s="10" t="s">
        <v>345</v>
      </c>
      <c r="M216" s="11" t="s">
        <v>358</v>
      </c>
      <c r="N216" s="11" t="str">
        <f>TEXT(Table1[[#This Row],[Date]],"mmm")</f>
        <v>Sep</v>
      </c>
    </row>
    <row r="217" spans="1:14" x14ac:dyDescent="0.3">
      <c r="A217" s="30" t="s">
        <v>264</v>
      </c>
      <c r="B217" s="31">
        <v>45553</v>
      </c>
      <c r="C217" s="30" t="s">
        <v>24</v>
      </c>
      <c r="D217" s="30" t="s">
        <v>13</v>
      </c>
      <c r="E217" s="32" t="s">
        <v>73</v>
      </c>
      <c r="F217" s="30">
        <v>9</v>
      </c>
      <c r="G217" s="38">
        <v>13032.6</v>
      </c>
      <c r="H217" s="38">
        <v>15515</v>
      </c>
      <c r="I217" s="33">
        <f>F217*G217</f>
        <v>117293.40000000001</v>
      </c>
      <c r="J217" s="33">
        <v>139635</v>
      </c>
      <c r="K217" s="34">
        <f>J217-I217</f>
        <v>22341.599999999991</v>
      </c>
      <c r="L217" s="33" t="s">
        <v>355</v>
      </c>
      <c r="M217" s="34" t="s">
        <v>374</v>
      </c>
      <c r="N217" s="34" t="str">
        <f>TEXT(Table1[[#This Row],[Date]],"mmm")</f>
        <v>Sep</v>
      </c>
    </row>
    <row r="218" spans="1:14" x14ac:dyDescent="0.3">
      <c r="A218" s="12" t="s">
        <v>16</v>
      </c>
      <c r="B218" s="13">
        <v>45554</v>
      </c>
      <c r="C218" s="12" t="s">
        <v>8</v>
      </c>
      <c r="D218" s="12" t="s">
        <v>13</v>
      </c>
      <c r="E218" s="12" t="s">
        <v>73</v>
      </c>
      <c r="F218" s="12">
        <v>1</v>
      </c>
      <c r="G218" s="35">
        <v>41948.22</v>
      </c>
      <c r="H218" s="35">
        <v>48777</v>
      </c>
      <c r="I218" s="14">
        <f>'01.Table'!$G9*'01.Table'!$F9</f>
        <v>195967.5</v>
      </c>
      <c r="J218" s="14">
        <v>48777</v>
      </c>
      <c r="K218" s="15">
        <f>'01.Table'!$J9-'01.Table'!$I9</f>
        <v>29282.5</v>
      </c>
      <c r="L218" s="14" t="s">
        <v>348</v>
      </c>
      <c r="M218" s="15" t="s">
        <v>354</v>
      </c>
      <c r="N218" s="15" t="str">
        <f>TEXT(Table1[[#This Row],[Date]],"mmm")</f>
        <v>Sep</v>
      </c>
    </row>
    <row r="219" spans="1:14" x14ac:dyDescent="0.3">
      <c r="A219" s="16" t="s">
        <v>335</v>
      </c>
      <c r="B219" s="17">
        <v>45554</v>
      </c>
      <c r="C219" s="16" t="s">
        <v>31</v>
      </c>
      <c r="D219" s="16" t="s">
        <v>28</v>
      </c>
      <c r="E219" s="19" t="s">
        <v>73</v>
      </c>
      <c r="F219" s="16">
        <v>4</v>
      </c>
      <c r="G219" s="37">
        <v>29279.88</v>
      </c>
      <c r="H219" s="37">
        <v>34857</v>
      </c>
      <c r="I219" s="18">
        <f t="shared" ref="I219:I231" si="22">F219*G219</f>
        <v>117119.52</v>
      </c>
      <c r="J219" s="18">
        <v>139428</v>
      </c>
      <c r="K219" s="20">
        <f t="shared" ref="K219:K231" si="23">J219-I219</f>
        <v>22308.479999999996</v>
      </c>
      <c r="L219" s="18" t="s">
        <v>348</v>
      </c>
      <c r="M219" s="20" t="s">
        <v>373</v>
      </c>
      <c r="N219" s="20" t="str">
        <f>TEXT(Table1[[#This Row],[Date]],"mmm")</f>
        <v>Sep</v>
      </c>
    </row>
    <row r="220" spans="1:14" x14ac:dyDescent="0.3">
      <c r="A220" s="12" t="s">
        <v>301</v>
      </c>
      <c r="B220" s="13">
        <v>45556</v>
      </c>
      <c r="C220" s="12" t="s">
        <v>10</v>
      </c>
      <c r="D220" s="12" t="s">
        <v>20</v>
      </c>
      <c r="E220" s="12" t="s">
        <v>73</v>
      </c>
      <c r="F220" s="12">
        <v>4</v>
      </c>
      <c r="G220" s="35">
        <v>42948.9</v>
      </c>
      <c r="H220" s="35">
        <v>47721</v>
      </c>
      <c r="I220" s="14">
        <f t="shared" si="22"/>
        <v>171795.6</v>
      </c>
      <c r="J220" s="14">
        <v>190884</v>
      </c>
      <c r="K220" s="15">
        <f t="shared" si="23"/>
        <v>19088.399999999994</v>
      </c>
      <c r="L220" s="14" t="s">
        <v>343</v>
      </c>
      <c r="M220" s="15" t="s">
        <v>366</v>
      </c>
      <c r="N220" s="15" t="str">
        <f>TEXT(Table1[[#This Row],[Date]],"mmm")</f>
        <v>Sep</v>
      </c>
    </row>
    <row r="221" spans="1:14" x14ac:dyDescent="0.3">
      <c r="A221" s="16" t="s">
        <v>303</v>
      </c>
      <c r="B221" s="17">
        <v>45557</v>
      </c>
      <c r="C221" s="16" t="s">
        <v>24</v>
      </c>
      <c r="D221" s="16" t="s">
        <v>44</v>
      </c>
      <c r="E221" s="19" t="s">
        <v>72</v>
      </c>
      <c r="F221" s="16">
        <v>7</v>
      </c>
      <c r="G221" s="37">
        <v>34327.300000000003</v>
      </c>
      <c r="H221" s="37">
        <v>38570</v>
      </c>
      <c r="I221" s="18">
        <f t="shared" si="22"/>
        <v>240291.10000000003</v>
      </c>
      <c r="J221" s="18">
        <v>269990</v>
      </c>
      <c r="K221" s="20">
        <f t="shared" si="23"/>
        <v>29698.899999999965</v>
      </c>
      <c r="L221" s="18" t="s">
        <v>348</v>
      </c>
      <c r="M221" s="20" t="s">
        <v>373</v>
      </c>
      <c r="N221" s="20" t="str">
        <f>TEXT(Table1[[#This Row],[Date]],"mmm")</f>
        <v>Sep</v>
      </c>
    </row>
    <row r="222" spans="1:14" x14ac:dyDescent="0.3">
      <c r="A222" s="12" t="s">
        <v>157</v>
      </c>
      <c r="B222" s="13">
        <v>45558</v>
      </c>
      <c r="C222" s="12" t="s">
        <v>35</v>
      </c>
      <c r="D222" s="12" t="s">
        <v>37</v>
      </c>
      <c r="E222" s="12" t="s">
        <v>72</v>
      </c>
      <c r="F222" s="12">
        <v>4</v>
      </c>
      <c r="G222" s="35">
        <v>37430.729999999996</v>
      </c>
      <c r="H222" s="35">
        <v>42057</v>
      </c>
      <c r="I222" s="14">
        <f t="shared" si="22"/>
        <v>149722.91999999998</v>
      </c>
      <c r="J222" s="14">
        <v>168228</v>
      </c>
      <c r="K222" s="15">
        <f t="shared" si="23"/>
        <v>18505.080000000016</v>
      </c>
      <c r="L222" s="14" t="s">
        <v>364</v>
      </c>
      <c r="M222" s="15" t="s">
        <v>371</v>
      </c>
      <c r="N222" s="15" t="str">
        <f>TEXT(Table1[[#This Row],[Date]],"mmm")</f>
        <v>Sep</v>
      </c>
    </row>
    <row r="223" spans="1:14" x14ac:dyDescent="0.3">
      <c r="A223" s="30" t="s">
        <v>246</v>
      </c>
      <c r="B223" s="31">
        <v>45559</v>
      </c>
      <c r="C223" s="30" t="s">
        <v>24</v>
      </c>
      <c r="D223" s="30" t="s">
        <v>13</v>
      </c>
      <c r="E223" s="32" t="s">
        <v>72</v>
      </c>
      <c r="F223" s="30">
        <v>8</v>
      </c>
      <c r="G223" s="38">
        <v>13743.2</v>
      </c>
      <c r="H223" s="38">
        <v>16760</v>
      </c>
      <c r="I223" s="33">
        <f t="shared" si="22"/>
        <v>109945.60000000001</v>
      </c>
      <c r="J223" s="33">
        <v>134080</v>
      </c>
      <c r="K223" s="34">
        <f t="shared" si="23"/>
        <v>24134.399999999994</v>
      </c>
      <c r="L223" s="33" t="s">
        <v>355</v>
      </c>
      <c r="M223" s="34" t="s">
        <v>374</v>
      </c>
      <c r="N223" s="34" t="str">
        <f>TEXT(Table1[[#This Row],[Date]],"mmm")</f>
        <v>Sep</v>
      </c>
    </row>
    <row r="224" spans="1:14" x14ac:dyDescent="0.3">
      <c r="A224" s="8" t="s">
        <v>124</v>
      </c>
      <c r="B224" s="9">
        <v>45560</v>
      </c>
      <c r="C224" s="8" t="s">
        <v>10</v>
      </c>
      <c r="D224" s="8" t="s">
        <v>49</v>
      </c>
      <c r="E224" s="8" t="s">
        <v>73</v>
      </c>
      <c r="F224" s="8">
        <v>7</v>
      </c>
      <c r="G224" s="36">
        <v>7367.4</v>
      </c>
      <c r="H224" s="36">
        <v>8186</v>
      </c>
      <c r="I224" s="10">
        <f t="shared" si="22"/>
        <v>51571.799999999996</v>
      </c>
      <c r="J224" s="10">
        <v>57302</v>
      </c>
      <c r="K224" s="11">
        <f t="shared" si="23"/>
        <v>5730.2000000000044</v>
      </c>
      <c r="L224" s="10" t="s">
        <v>364</v>
      </c>
      <c r="M224" s="11" t="s">
        <v>371</v>
      </c>
      <c r="N224" s="11" t="str">
        <f>TEXT(Table1[[#This Row],[Date]],"mmm")</f>
        <v>Sep</v>
      </c>
    </row>
    <row r="225" spans="1:14" x14ac:dyDescent="0.3">
      <c r="A225" s="30" t="s">
        <v>276</v>
      </c>
      <c r="B225" s="31">
        <v>45563</v>
      </c>
      <c r="C225" s="30" t="s">
        <v>6</v>
      </c>
      <c r="D225" s="30" t="s">
        <v>20</v>
      </c>
      <c r="E225" s="32" t="s">
        <v>73</v>
      </c>
      <c r="F225" s="30">
        <v>1</v>
      </c>
      <c r="G225" s="38">
        <v>20927.849999999999</v>
      </c>
      <c r="H225" s="38">
        <v>24621</v>
      </c>
      <c r="I225" s="33">
        <f t="shared" si="22"/>
        <v>20927.849999999999</v>
      </c>
      <c r="J225" s="33">
        <v>24621</v>
      </c>
      <c r="K225" s="34">
        <f t="shared" si="23"/>
        <v>3693.1500000000015</v>
      </c>
      <c r="L225" s="33" t="s">
        <v>345</v>
      </c>
      <c r="M225" s="34" t="s">
        <v>346</v>
      </c>
      <c r="N225" s="34" t="str">
        <f>TEXT(Table1[[#This Row],[Date]],"mmm")</f>
        <v>Sep</v>
      </c>
    </row>
    <row r="226" spans="1:14" x14ac:dyDescent="0.3">
      <c r="A226" s="12" t="s">
        <v>209</v>
      </c>
      <c r="B226" s="13">
        <v>45565</v>
      </c>
      <c r="C226" s="12" t="s">
        <v>15</v>
      </c>
      <c r="D226" s="12" t="s">
        <v>4</v>
      </c>
      <c r="E226" s="12" t="s">
        <v>72</v>
      </c>
      <c r="F226" s="12">
        <v>4</v>
      </c>
      <c r="G226" s="35">
        <v>25058.85</v>
      </c>
      <c r="H226" s="35">
        <v>29481</v>
      </c>
      <c r="I226" s="14">
        <f t="shared" si="22"/>
        <v>100235.4</v>
      </c>
      <c r="J226" s="14">
        <v>117924</v>
      </c>
      <c r="K226" s="15">
        <f t="shared" si="23"/>
        <v>17688.600000000006</v>
      </c>
      <c r="L226" s="14" t="s">
        <v>348</v>
      </c>
      <c r="M226" s="15" t="s">
        <v>373</v>
      </c>
      <c r="N226" s="15" t="str">
        <f>TEXT(Table1[[#This Row],[Date]],"mmm")</f>
        <v>Sep</v>
      </c>
    </row>
    <row r="227" spans="1:14" x14ac:dyDescent="0.3">
      <c r="A227" s="16" t="s">
        <v>207</v>
      </c>
      <c r="B227" s="17">
        <v>45566</v>
      </c>
      <c r="C227" s="16" t="s">
        <v>26</v>
      </c>
      <c r="D227" s="16" t="s">
        <v>49</v>
      </c>
      <c r="E227" s="19" t="s">
        <v>72</v>
      </c>
      <c r="F227" s="16">
        <v>9</v>
      </c>
      <c r="G227" s="37">
        <v>27989.06</v>
      </c>
      <c r="H227" s="37">
        <v>34133</v>
      </c>
      <c r="I227" s="18">
        <f t="shared" si="22"/>
        <v>251901.54</v>
      </c>
      <c r="J227" s="18">
        <v>307197</v>
      </c>
      <c r="K227" s="20">
        <f t="shared" si="23"/>
        <v>55295.459999999992</v>
      </c>
      <c r="L227" s="18" t="s">
        <v>345</v>
      </c>
      <c r="M227" s="20" t="s">
        <v>350</v>
      </c>
      <c r="N227" s="20" t="str">
        <f>TEXT(Table1[[#This Row],[Date]],"mmm")</f>
        <v>Oct</v>
      </c>
    </row>
    <row r="228" spans="1:14" x14ac:dyDescent="0.3">
      <c r="A228" s="12" t="s">
        <v>295</v>
      </c>
      <c r="B228" s="13">
        <v>45566</v>
      </c>
      <c r="C228" s="12" t="s">
        <v>26</v>
      </c>
      <c r="D228" s="12" t="s">
        <v>49</v>
      </c>
      <c r="E228" s="12" t="s">
        <v>73</v>
      </c>
      <c r="F228" s="12">
        <v>10</v>
      </c>
      <c r="G228" s="35">
        <v>16309.6</v>
      </c>
      <c r="H228" s="35">
        <v>20387</v>
      </c>
      <c r="I228" s="14">
        <f t="shared" si="22"/>
        <v>163096</v>
      </c>
      <c r="J228" s="14">
        <v>203870</v>
      </c>
      <c r="K228" s="15">
        <f t="shared" si="23"/>
        <v>40774</v>
      </c>
      <c r="L228" s="14" t="s">
        <v>364</v>
      </c>
      <c r="M228" s="15" t="s">
        <v>365</v>
      </c>
      <c r="N228" s="15" t="str">
        <f>TEXT(Table1[[#This Row],[Date]],"mmm")</f>
        <v>Oct</v>
      </c>
    </row>
    <row r="229" spans="1:14" x14ac:dyDescent="0.3">
      <c r="A229" s="30" t="s">
        <v>154</v>
      </c>
      <c r="B229" s="31">
        <v>45567</v>
      </c>
      <c r="C229" s="30" t="s">
        <v>15</v>
      </c>
      <c r="D229" s="30" t="s">
        <v>60</v>
      </c>
      <c r="E229" s="32" t="s">
        <v>73</v>
      </c>
      <c r="F229" s="30">
        <v>5</v>
      </c>
      <c r="G229" s="38">
        <v>36100.239999999998</v>
      </c>
      <c r="H229" s="38">
        <v>41023</v>
      </c>
      <c r="I229" s="33">
        <f t="shared" si="22"/>
        <v>180501.19999999998</v>
      </c>
      <c r="J229" s="33">
        <v>205115</v>
      </c>
      <c r="K229" s="34">
        <f t="shared" si="23"/>
        <v>24613.800000000017</v>
      </c>
      <c r="L229" s="33" t="s">
        <v>348</v>
      </c>
      <c r="M229" s="34" t="s">
        <v>384</v>
      </c>
      <c r="N229" s="34" t="str">
        <f>TEXT(Table1[[#This Row],[Date]],"mmm")</f>
        <v>Oct</v>
      </c>
    </row>
    <row r="230" spans="1:14" x14ac:dyDescent="0.3">
      <c r="A230" s="8" t="s">
        <v>332</v>
      </c>
      <c r="B230" s="9">
        <v>45567</v>
      </c>
      <c r="C230" s="8" t="s">
        <v>22</v>
      </c>
      <c r="D230" s="8" t="s">
        <v>37</v>
      </c>
      <c r="E230" s="8" t="s">
        <v>73</v>
      </c>
      <c r="F230" s="8">
        <v>8</v>
      </c>
      <c r="G230" s="36">
        <v>12922.56</v>
      </c>
      <c r="H230" s="36">
        <v>15384</v>
      </c>
      <c r="I230" s="10">
        <f t="shared" si="22"/>
        <v>103380.48</v>
      </c>
      <c r="J230" s="10">
        <v>123072</v>
      </c>
      <c r="K230" s="11">
        <f t="shared" si="23"/>
        <v>19691.520000000004</v>
      </c>
      <c r="L230" s="10" t="s">
        <v>351</v>
      </c>
      <c r="M230" s="11" t="s">
        <v>362</v>
      </c>
      <c r="N230" s="11" t="str">
        <f>TEXT(Table1[[#This Row],[Date]],"mmm")</f>
        <v>Oct</v>
      </c>
    </row>
    <row r="231" spans="1:14" x14ac:dyDescent="0.3">
      <c r="A231" s="30" t="s">
        <v>252</v>
      </c>
      <c r="B231" s="31">
        <v>45568</v>
      </c>
      <c r="C231" s="30" t="s">
        <v>8</v>
      </c>
      <c r="D231" s="30" t="s">
        <v>4</v>
      </c>
      <c r="E231" s="32" t="s">
        <v>73</v>
      </c>
      <c r="F231" s="30">
        <v>6</v>
      </c>
      <c r="G231" s="38">
        <v>13289.67</v>
      </c>
      <c r="H231" s="38">
        <v>16407</v>
      </c>
      <c r="I231" s="33">
        <f t="shared" si="22"/>
        <v>79738.02</v>
      </c>
      <c r="J231" s="33">
        <v>98442</v>
      </c>
      <c r="K231" s="34">
        <f t="shared" si="23"/>
        <v>18703.979999999996</v>
      </c>
      <c r="L231" s="33" t="s">
        <v>343</v>
      </c>
      <c r="M231" s="34" t="s">
        <v>381</v>
      </c>
      <c r="N231" s="34" t="str">
        <f>TEXT(Table1[[#This Row],[Date]],"mmm")</f>
        <v>Oct</v>
      </c>
    </row>
    <row r="232" spans="1:14" x14ac:dyDescent="0.3">
      <c r="A232" s="8" t="s">
        <v>46</v>
      </c>
      <c r="B232" s="9">
        <v>45569</v>
      </c>
      <c r="C232" s="8" t="s">
        <v>3</v>
      </c>
      <c r="D232" s="8" t="s">
        <v>44</v>
      </c>
      <c r="E232" s="8" t="s">
        <v>72</v>
      </c>
      <c r="F232" s="8">
        <v>2</v>
      </c>
      <c r="G232" s="36">
        <v>33971.1</v>
      </c>
      <c r="H232" s="36">
        <v>39966</v>
      </c>
      <c r="I232" s="10">
        <f>'01.Table'!$G30*'01.Table'!$F30</f>
        <v>41100.200000000004</v>
      </c>
      <c r="J232" s="10">
        <v>79932</v>
      </c>
      <c r="K232" s="11">
        <f>'01.Table'!$J30-'01.Table'!$I30</f>
        <v>-4931</v>
      </c>
      <c r="L232" s="10" t="s">
        <v>364</v>
      </c>
      <c r="M232" s="11" t="s">
        <v>368</v>
      </c>
      <c r="N232" s="11" t="str">
        <f>TEXT(Table1[[#This Row],[Date]],"mmm")</f>
        <v>Oct</v>
      </c>
    </row>
    <row r="233" spans="1:14" x14ac:dyDescent="0.3">
      <c r="A233" s="30" t="s">
        <v>162</v>
      </c>
      <c r="B233" s="31">
        <v>45569</v>
      </c>
      <c r="C233" s="30" t="s">
        <v>24</v>
      </c>
      <c r="D233" s="30" t="s">
        <v>13</v>
      </c>
      <c r="E233" s="32" t="s">
        <v>73</v>
      </c>
      <c r="F233" s="30">
        <v>10</v>
      </c>
      <c r="G233" s="38">
        <v>26865.439999999999</v>
      </c>
      <c r="H233" s="38">
        <v>32368</v>
      </c>
      <c r="I233" s="33">
        <f>F233*G233</f>
        <v>268654.39999999997</v>
      </c>
      <c r="J233" s="33">
        <v>323680</v>
      </c>
      <c r="K233" s="34">
        <f>J233-I233</f>
        <v>55025.600000000035</v>
      </c>
      <c r="L233" s="33" t="s">
        <v>345</v>
      </c>
      <c r="M233" s="34" t="s">
        <v>370</v>
      </c>
      <c r="N233" s="34" t="str">
        <f>TEXT(Table1[[#This Row],[Date]],"mmm")</f>
        <v>Oct</v>
      </c>
    </row>
    <row r="234" spans="1:14" x14ac:dyDescent="0.3">
      <c r="A234" s="12" t="s">
        <v>259</v>
      </c>
      <c r="B234" s="13">
        <v>45572</v>
      </c>
      <c r="C234" s="12" t="s">
        <v>35</v>
      </c>
      <c r="D234" s="12" t="s">
        <v>60</v>
      </c>
      <c r="E234" s="12" t="s">
        <v>72</v>
      </c>
      <c r="F234" s="12">
        <v>9</v>
      </c>
      <c r="G234" s="35">
        <v>22898.33</v>
      </c>
      <c r="H234" s="35">
        <v>25163</v>
      </c>
      <c r="I234" s="14">
        <f>F234*G234</f>
        <v>206084.97000000003</v>
      </c>
      <c r="J234" s="14">
        <v>226467</v>
      </c>
      <c r="K234" s="15">
        <f>J234-I234</f>
        <v>20382.02999999997</v>
      </c>
      <c r="L234" s="14" t="s">
        <v>364</v>
      </c>
      <c r="M234" s="15" t="s">
        <v>378</v>
      </c>
      <c r="N234" s="15" t="str">
        <f>TEXT(Table1[[#This Row],[Date]],"mmm")</f>
        <v>Oct</v>
      </c>
    </row>
    <row r="235" spans="1:14" x14ac:dyDescent="0.3">
      <c r="A235" s="16" t="s">
        <v>29</v>
      </c>
      <c r="B235" s="17">
        <v>45574</v>
      </c>
      <c r="C235" s="16" t="s">
        <v>8</v>
      </c>
      <c r="D235" s="16" t="s">
        <v>28</v>
      </c>
      <c r="E235" s="19" t="s">
        <v>73</v>
      </c>
      <c r="F235" s="16">
        <v>4</v>
      </c>
      <c r="G235" s="37">
        <v>13373.05</v>
      </c>
      <c r="H235" s="37">
        <v>15733</v>
      </c>
      <c r="I235" s="18">
        <f>'01.Table'!$G17*'01.Table'!$F17</f>
        <v>99006.8</v>
      </c>
      <c r="J235" s="18">
        <v>62932</v>
      </c>
      <c r="K235" s="20">
        <f>'01.Table'!$J17-'01.Table'!$I17</f>
        <v>82398.080000000002</v>
      </c>
      <c r="L235" s="18" t="s">
        <v>351</v>
      </c>
      <c r="M235" s="20" t="s">
        <v>362</v>
      </c>
      <c r="N235" s="20" t="str">
        <f>TEXT(Table1[[#This Row],[Date]],"mmm")</f>
        <v>Oct</v>
      </c>
    </row>
    <row r="236" spans="1:14" x14ac:dyDescent="0.3">
      <c r="A236" s="8" t="s">
        <v>69</v>
      </c>
      <c r="B236" s="9">
        <v>45574</v>
      </c>
      <c r="C236" s="8" t="s">
        <v>51</v>
      </c>
      <c r="D236" s="8" t="s">
        <v>60</v>
      </c>
      <c r="E236" s="8" t="s">
        <v>72</v>
      </c>
      <c r="F236" s="8">
        <v>3</v>
      </c>
      <c r="G236" s="36">
        <v>39909.72</v>
      </c>
      <c r="H236" s="36">
        <v>48084</v>
      </c>
      <c r="I236" s="10">
        <f>'01.Table'!$G50*'01.Table'!$F50</f>
        <v>144636.79999999999</v>
      </c>
      <c r="J236" s="10">
        <v>144252</v>
      </c>
      <c r="K236" s="11">
        <f>'01.Table'!$J50-'01.Table'!$I50</f>
        <v>19723.200000000012</v>
      </c>
      <c r="L236" s="10" t="s">
        <v>355</v>
      </c>
      <c r="M236" s="11" t="s">
        <v>379</v>
      </c>
      <c r="N236" s="11" t="str">
        <f>TEXT(Table1[[#This Row],[Date]],"mmm")</f>
        <v>Oct</v>
      </c>
    </row>
    <row r="237" spans="1:14" x14ac:dyDescent="0.3">
      <c r="A237" s="30" t="s">
        <v>312</v>
      </c>
      <c r="B237" s="31">
        <v>45575</v>
      </c>
      <c r="C237" s="30" t="s">
        <v>10</v>
      </c>
      <c r="D237" s="30" t="s">
        <v>20</v>
      </c>
      <c r="E237" s="32" t="s">
        <v>73</v>
      </c>
      <c r="F237" s="30">
        <v>8</v>
      </c>
      <c r="G237" s="38">
        <v>13276</v>
      </c>
      <c r="H237" s="38">
        <v>16595</v>
      </c>
      <c r="I237" s="33">
        <f t="shared" ref="I237:I244" si="24">F237*G237</f>
        <v>106208</v>
      </c>
      <c r="J237" s="33">
        <v>132760</v>
      </c>
      <c r="K237" s="34">
        <f t="shared" ref="K237:K244" si="25">J237-I237</f>
        <v>26552</v>
      </c>
      <c r="L237" s="33" t="s">
        <v>364</v>
      </c>
      <c r="M237" s="34" t="s">
        <v>365</v>
      </c>
      <c r="N237" s="34" t="str">
        <f>TEXT(Table1[[#This Row],[Date]],"mmm")</f>
        <v>Oct</v>
      </c>
    </row>
    <row r="238" spans="1:14" x14ac:dyDescent="0.3">
      <c r="A238" s="12" t="s">
        <v>199</v>
      </c>
      <c r="B238" s="13">
        <v>45577</v>
      </c>
      <c r="C238" s="12" t="s">
        <v>31</v>
      </c>
      <c r="D238" s="12" t="s">
        <v>44</v>
      </c>
      <c r="E238" s="12" t="s">
        <v>72</v>
      </c>
      <c r="F238" s="12">
        <v>6</v>
      </c>
      <c r="G238" s="35">
        <v>39694.159999999996</v>
      </c>
      <c r="H238" s="35">
        <v>46156</v>
      </c>
      <c r="I238" s="14">
        <f t="shared" si="24"/>
        <v>238164.95999999996</v>
      </c>
      <c r="J238" s="14">
        <v>276936</v>
      </c>
      <c r="K238" s="15">
        <f t="shared" si="25"/>
        <v>38771.040000000037</v>
      </c>
      <c r="L238" s="14" t="s">
        <v>345</v>
      </c>
      <c r="M238" s="15" t="s">
        <v>358</v>
      </c>
      <c r="N238" s="15" t="str">
        <f>TEXT(Table1[[#This Row],[Date]],"mmm")</f>
        <v>Oct</v>
      </c>
    </row>
    <row r="239" spans="1:14" x14ac:dyDescent="0.3">
      <c r="A239" s="30" t="s">
        <v>206</v>
      </c>
      <c r="B239" s="31">
        <v>45577</v>
      </c>
      <c r="C239" s="30" t="s">
        <v>51</v>
      </c>
      <c r="D239" s="30" t="s">
        <v>49</v>
      </c>
      <c r="E239" s="32" t="s">
        <v>72</v>
      </c>
      <c r="F239" s="30">
        <v>5</v>
      </c>
      <c r="G239" s="38">
        <v>27418.45</v>
      </c>
      <c r="H239" s="38">
        <v>32257</v>
      </c>
      <c r="I239" s="33">
        <f t="shared" si="24"/>
        <v>137092.25</v>
      </c>
      <c r="J239" s="33">
        <v>161285</v>
      </c>
      <c r="K239" s="34">
        <f t="shared" si="25"/>
        <v>24192.75</v>
      </c>
      <c r="L239" s="33" t="s">
        <v>343</v>
      </c>
      <c r="M239" s="34" t="s">
        <v>369</v>
      </c>
      <c r="N239" s="34" t="str">
        <f>TEXT(Table1[[#This Row],[Date]],"mmm")</f>
        <v>Oct</v>
      </c>
    </row>
    <row r="240" spans="1:14" x14ac:dyDescent="0.3">
      <c r="A240" s="12" t="s">
        <v>311</v>
      </c>
      <c r="B240" s="13">
        <v>45577</v>
      </c>
      <c r="C240" s="12" t="s">
        <v>24</v>
      </c>
      <c r="D240" s="12" t="s">
        <v>44</v>
      </c>
      <c r="E240" s="12" t="s">
        <v>72</v>
      </c>
      <c r="F240" s="12">
        <v>1</v>
      </c>
      <c r="G240" s="35">
        <v>17121.650000000001</v>
      </c>
      <c r="H240" s="35">
        <v>18815</v>
      </c>
      <c r="I240" s="14">
        <f t="shared" si="24"/>
        <v>17121.650000000001</v>
      </c>
      <c r="J240" s="14">
        <v>18815</v>
      </c>
      <c r="K240" s="15">
        <f t="shared" si="25"/>
        <v>1693.3499999999985</v>
      </c>
      <c r="L240" s="14" t="s">
        <v>351</v>
      </c>
      <c r="M240" s="15" t="s">
        <v>352</v>
      </c>
      <c r="N240" s="15" t="str">
        <f>TEXT(Table1[[#This Row],[Date]],"mmm")</f>
        <v>Oct</v>
      </c>
    </row>
    <row r="241" spans="1:14" x14ac:dyDescent="0.3">
      <c r="A241" s="30" t="s">
        <v>170</v>
      </c>
      <c r="B241" s="31">
        <v>45578</v>
      </c>
      <c r="C241" s="30" t="s">
        <v>35</v>
      </c>
      <c r="D241" s="30" t="s">
        <v>44</v>
      </c>
      <c r="E241" s="32" t="s">
        <v>73</v>
      </c>
      <c r="F241" s="30">
        <v>6</v>
      </c>
      <c r="G241" s="38">
        <v>36838.5</v>
      </c>
      <c r="H241" s="38">
        <v>44925</v>
      </c>
      <c r="I241" s="33">
        <f t="shared" si="24"/>
        <v>221031</v>
      </c>
      <c r="J241" s="33">
        <v>269550</v>
      </c>
      <c r="K241" s="34">
        <f t="shared" si="25"/>
        <v>48519</v>
      </c>
      <c r="L241" s="33" t="s">
        <v>364</v>
      </c>
      <c r="M241" s="34" t="s">
        <v>382</v>
      </c>
      <c r="N241" s="34" t="str">
        <f>TEXT(Table1[[#This Row],[Date]],"mmm")</f>
        <v>Oct</v>
      </c>
    </row>
    <row r="242" spans="1:14" x14ac:dyDescent="0.3">
      <c r="A242" s="12" t="s">
        <v>313</v>
      </c>
      <c r="B242" s="13">
        <v>45578</v>
      </c>
      <c r="C242" s="12" t="s">
        <v>3</v>
      </c>
      <c r="D242" s="12" t="s">
        <v>60</v>
      </c>
      <c r="E242" s="12" t="s">
        <v>73</v>
      </c>
      <c r="F242" s="12">
        <v>5</v>
      </c>
      <c r="G242" s="35">
        <v>16581.599999999999</v>
      </c>
      <c r="H242" s="35">
        <v>18424</v>
      </c>
      <c r="I242" s="14">
        <f t="shared" si="24"/>
        <v>82908</v>
      </c>
      <c r="J242" s="14">
        <v>92120</v>
      </c>
      <c r="K242" s="15">
        <f t="shared" si="25"/>
        <v>9212</v>
      </c>
      <c r="L242" s="14" t="s">
        <v>345</v>
      </c>
      <c r="M242" s="15" t="s">
        <v>358</v>
      </c>
      <c r="N242" s="15" t="str">
        <f>TEXT(Table1[[#This Row],[Date]],"mmm")</f>
        <v>Oct</v>
      </c>
    </row>
    <row r="243" spans="1:14" x14ac:dyDescent="0.3">
      <c r="A243" s="30" t="s">
        <v>236</v>
      </c>
      <c r="B243" s="31">
        <v>45579</v>
      </c>
      <c r="C243" s="30" t="s">
        <v>26</v>
      </c>
      <c r="D243" s="30" t="s">
        <v>37</v>
      </c>
      <c r="E243" s="32" t="s">
        <v>73</v>
      </c>
      <c r="F243" s="30">
        <v>4</v>
      </c>
      <c r="G243" s="38">
        <v>28767.200000000001</v>
      </c>
      <c r="H243" s="38">
        <v>35959</v>
      </c>
      <c r="I243" s="33">
        <f t="shared" si="24"/>
        <v>115068.8</v>
      </c>
      <c r="J243" s="33">
        <v>143836</v>
      </c>
      <c r="K243" s="34">
        <f t="shared" si="25"/>
        <v>28767.199999999997</v>
      </c>
      <c r="L243" s="33" t="s">
        <v>348</v>
      </c>
      <c r="M243" s="34" t="s">
        <v>373</v>
      </c>
      <c r="N243" s="34" t="str">
        <f>TEXT(Table1[[#This Row],[Date]],"mmm")</f>
        <v>Oct</v>
      </c>
    </row>
    <row r="244" spans="1:14" x14ac:dyDescent="0.3">
      <c r="A244" s="8" t="s">
        <v>262</v>
      </c>
      <c r="B244" s="9">
        <v>45582</v>
      </c>
      <c r="C244" s="8" t="s">
        <v>31</v>
      </c>
      <c r="D244" s="8" t="s">
        <v>49</v>
      </c>
      <c r="E244" s="8" t="s">
        <v>73</v>
      </c>
      <c r="F244" s="8">
        <v>1</v>
      </c>
      <c r="G244" s="36">
        <v>23509.08</v>
      </c>
      <c r="H244" s="36">
        <v>27987</v>
      </c>
      <c r="I244" s="10">
        <f t="shared" si="24"/>
        <v>23509.08</v>
      </c>
      <c r="J244" s="10">
        <v>27987</v>
      </c>
      <c r="K244" s="11">
        <f t="shared" si="25"/>
        <v>4477.9199999999983</v>
      </c>
      <c r="L244" s="10" t="s">
        <v>355</v>
      </c>
      <c r="M244" s="11" t="s">
        <v>363</v>
      </c>
      <c r="N244" s="11" t="str">
        <f>TEXT(Table1[[#This Row],[Date]],"mmm")</f>
        <v>Oct</v>
      </c>
    </row>
    <row r="245" spans="1:14" x14ac:dyDescent="0.3">
      <c r="A245" s="16" t="s">
        <v>42</v>
      </c>
      <c r="B245" s="17">
        <v>45584</v>
      </c>
      <c r="C245" s="16" t="s">
        <v>26</v>
      </c>
      <c r="D245" s="16" t="s">
        <v>37</v>
      </c>
      <c r="E245" s="19" t="s">
        <v>72</v>
      </c>
      <c r="F245" s="16">
        <v>2</v>
      </c>
      <c r="G245" s="37">
        <v>4957.88</v>
      </c>
      <c r="H245" s="37">
        <v>5389</v>
      </c>
      <c r="I245" s="18">
        <f>'01.Table'!$G27*'01.Table'!$F27</f>
        <v>109416</v>
      </c>
      <c r="J245" s="18">
        <v>10778</v>
      </c>
      <c r="K245" s="20">
        <f>'01.Table'!$J27-'01.Table'!$I27</f>
        <v>27354</v>
      </c>
      <c r="L245" s="18" t="s">
        <v>348</v>
      </c>
      <c r="M245" s="20" t="s">
        <v>354</v>
      </c>
      <c r="N245" s="20" t="str">
        <f>TEXT(Table1[[#This Row],[Date]],"mmm")</f>
        <v>Oct</v>
      </c>
    </row>
    <row r="246" spans="1:14" x14ac:dyDescent="0.3">
      <c r="A246" s="12" t="s">
        <v>139</v>
      </c>
      <c r="B246" s="13">
        <v>45584</v>
      </c>
      <c r="C246" s="12" t="s">
        <v>51</v>
      </c>
      <c r="D246" s="12" t="s">
        <v>20</v>
      </c>
      <c r="E246" s="12" t="s">
        <v>73</v>
      </c>
      <c r="F246" s="12">
        <v>8</v>
      </c>
      <c r="G246" s="35">
        <v>32301</v>
      </c>
      <c r="H246" s="35">
        <v>35890</v>
      </c>
      <c r="I246" s="14">
        <f t="shared" ref="I246:I256" si="26">F246*G246</f>
        <v>258408</v>
      </c>
      <c r="J246" s="14">
        <v>287120</v>
      </c>
      <c r="K246" s="15">
        <f t="shared" ref="K246:K256" si="27">J246-I246</f>
        <v>28712</v>
      </c>
      <c r="L246" s="14" t="s">
        <v>348</v>
      </c>
      <c r="M246" s="15" t="s">
        <v>377</v>
      </c>
      <c r="N246" s="15" t="str">
        <f>TEXT(Table1[[#This Row],[Date]],"mmm")</f>
        <v>Oct</v>
      </c>
    </row>
    <row r="247" spans="1:14" x14ac:dyDescent="0.3">
      <c r="A247" s="30" t="s">
        <v>148</v>
      </c>
      <c r="B247" s="31">
        <v>45585</v>
      </c>
      <c r="C247" s="30" t="s">
        <v>15</v>
      </c>
      <c r="D247" s="30" t="s">
        <v>44</v>
      </c>
      <c r="E247" s="32" t="s">
        <v>73</v>
      </c>
      <c r="F247" s="30">
        <v>4</v>
      </c>
      <c r="G247" s="38">
        <v>1875.23</v>
      </c>
      <c r="H247" s="38">
        <v>2107</v>
      </c>
      <c r="I247" s="33">
        <f t="shared" si="26"/>
        <v>7500.92</v>
      </c>
      <c r="J247" s="33">
        <v>8428</v>
      </c>
      <c r="K247" s="34">
        <f t="shared" si="27"/>
        <v>927.07999999999993</v>
      </c>
      <c r="L247" s="33" t="s">
        <v>345</v>
      </c>
      <c r="M247" s="34" t="s">
        <v>346</v>
      </c>
      <c r="N247" s="34" t="str">
        <f>TEXT(Table1[[#This Row],[Date]],"mmm")</f>
        <v>Oct</v>
      </c>
    </row>
    <row r="248" spans="1:14" x14ac:dyDescent="0.3">
      <c r="A248" s="12" t="s">
        <v>285</v>
      </c>
      <c r="B248" s="13">
        <v>45589</v>
      </c>
      <c r="C248" s="12" t="s">
        <v>3</v>
      </c>
      <c r="D248" s="12" t="s">
        <v>49</v>
      </c>
      <c r="E248" s="12" t="s">
        <v>72</v>
      </c>
      <c r="F248" s="12">
        <v>9</v>
      </c>
      <c r="G248" s="35">
        <v>3983.6</v>
      </c>
      <c r="H248" s="35">
        <v>4330</v>
      </c>
      <c r="I248" s="14">
        <f t="shared" si="26"/>
        <v>35852.400000000001</v>
      </c>
      <c r="J248" s="14">
        <v>38970</v>
      </c>
      <c r="K248" s="15">
        <f t="shared" si="27"/>
        <v>3117.5999999999985</v>
      </c>
      <c r="L248" s="14" t="s">
        <v>345</v>
      </c>
      <c r="M248" s="15" t="s">
        <v>350</v>
      </c>
      <c r="N248" s="15" t="str">
        <f>TEXT(Table1[[#This Row],[Date]],"mmm")</f>
        <v>Oct</v>
      </c>
    </row>
    <row r="249" spans="1:14" x14ac:dyDescent="0.3">
      <c r="A249" s="30" t="s">
        <v>294</v>
      </c>
      <c r="B249" s="31">
        <v>45589</v>
      </c>
      <c r="C249" s="30" t="s">
        <v>6</v>
      </c>
      <c r="D249" s="30" t="s">
        <v>49</v>
      </c>
      <c r="E249" s="32" t="s">
        <v>72</v>
      </c>
      <c r="F249" s="30">
        <v>2</v>
      </c>
      <c r="G249" s="38">
        <v>35965.599999999999</v>
      </c>
      <c r="H249" s="38">
        <v>44957</v>
      </c>
      <c r="I249" s="33">
        <f t="shared" si="26"/>
        <v>71931.199999999997</v>
      </c>
      <c r="J249" s="33">
        <v>89914</v>
      </c>
      <c r="K249" s="34">
        <f t="shared" si="27"/>
        <v>17982.800000000003</v>
      </c>
      <c r="L249" s="33" t="s">
        <v>351</v>
      </c>
      <c r="M249" s="34" t="s">
        <v>353</v>
      </c>
      <c r="N249" s="34" t="str">
        <f>TEXT(Table1[[#This Row],[Date]],"mmm")</f>
        <v>Oct</v>
      </c>
    </row>
    <row r="250" spans="1:14" x14ac:dyDescent="0.3">
      <c r="A250" s="8" t="s">
        <v>196</v>
      </c>
      <c r="B250" s="9">
        <v>45590</v>
      </c>
      <c r="C250" s="8" t="s">
        <v>35</v>
      </c>
      <c r="D250" s="8" t="s">
        <v>37</v>
      </c>
      <c r="E250" s="8" t="s">
        <v>73</v>
      </c>
      <c r="F250" s="8">
        <v>8</v>
      </c>
      <c r="G250" s="36">
        <v>27535.25</v>
      </c>
      <c r="H250" s="36">
        <v>33175</v>
      </c>
      <c r="I250" s="10">
        <f t="shared" si="26"/>
        <v>220282</v>
      </c>
      <c r="J250" s="10">
        <v>265400</v>
      </c>
      <c r="K250" s="11">
        <f t="shared" si="27"/>
        <v>45118</v>
      </c>
      <c r="L250" s="10" t="s">
        <v>348</v>
      </c>
      <c r="M250" s="11" t="s">
        <v>373</v>
      </c>
      <c r="N250" s="11" t="str">
        <f>TEXT(Table1[[#This Row],[Date]],"mmm")</f>
        <v>Oct</v>
      </c>
    </row>
    <row r="251" spans="1:14" x14ac:dyDescent="0.3">
      <c r="A251" s="30" t="s">
        <v>338</v>
      </c>
      <c r="B251" s="31">
        <v>45594</v>
      </c>
      <c r="C251" s="30" t="s">
        <v>35</v>
      </c>
      <c r="D251" s="30" t="s">
        <v>4</v>
      </c>
      <c r="E251" s="32" t="s">
        <v>73</v>
      </c>
      <c r="F251" s="30">
        <v>7</v>
      </c>
      <c r="G251" s="38">
        <v>22102.080000000002</v>
      </c>
      <c r="H251" s="38">
        <v>25116</v>
      </c>
      <c r="I251" s="33">
        <f t="shared" si="26"/>
        <v>154714.56</v>
      </c>
      <c r="J251" s="33">
        <v>175812</v>
      </c>
      <c r="K251" s="34">
        <f t="shared" si="27"/>
        <v>21097.440000000002</v>
      </c>
      <c r="L251" s="33" t="s">
        <v>364</v>
      </c>
      <c r="M251" s="34" t="s">
        <v>365</v>
      </c>
      <c r="N251" s="34" t="str">
        <f>TEXT(Table1[[#This Row],[Date]],"mmm")</f>
        <v>Oct</v>
      </c>
    </row>
    <row r="252" spans="1:14" x14ac:dyDescent="0.3">
      <c r="A252" s="12" t="s">
        <v>177</v>
      </c>
      <c r="B252" s="13">
        <v>45599</v>
      </c>
      <c r="C252" s="12" t="s">
        <v>8</v>
      </c>
      <c r="D252" s="12" t="s">
        <v>20</v>
      </c>
      <c r="E252" s="12" t="s">
        <v>73</v>
      </c>
      <c r="F252" s="12">
        <v>9</v>
      </c>
      <c r="G252" s="35">
        <v>45070.48</v>
      </c>
      <c r="H252" s="35">
        <v>49528</v>
      </c>
      <c r="I252" s="14">
        <f t="shared" si="26"/>
        <v>405634.32</v>
      </c>
      <c r="J252" s="14">
        <v>445752</v>
      </c>
      <c r="K252" s="15">
        <f t="shared" si="27"/>
        <v>40117.679999999993</v>
      </c>
      <c r="L252" s="14" t="s">
        <v>343</v>
      </c>
      <c r="M252" s="15" t="s">
        <v>366</v>
      </c>
      <c r="N252" s="15" t="str">
        <f>TEXT(Table1[[#This Row],[Date]],"mmm")</f>
        <v>Nov</v>
      </c>
    </row>
    <row r="253" spans="1:14" x14ac:dyDescent="0.3">
      <c r="A253" s="30" t="s">
        <v>216</v>
      </c>
      <c r="B253" s="31">
        <v>45599</v>
      </c>
      <c r="C253" s="30" t="s">
        <v>3</v>
      </c>
      <c r="D253" s="30" t="s">
        <v>28</v>
      </c>
      <c r="E253" s="32" t="s">
        <v>73</v>
      </c>
      <c r="F253" s="30">
        <v>1</v>
      </c>
      <c r="G253" s="38">
        <v>38695.800000000003</v>
      </c>
      <c r="H253" s="38">
        <v>47190</v>
      </c>
      <c r="I253" s="33">
        <f t="shared" si="26"/>
        <v>38695.800000000003</v>
      </c>
      <c r="J253" s="33">
        <v>47190</v>
      </c>
      <c r="K253" s="34">
        <f t="shared" si="27"/>
        <v>8494.1999999999971</v>
      </c>
      <c r="L253" s="33" t="s">
        <v>345</v>
      </c>
      <c r="M253" s="34" t="s">
        <v>370</v>
      </c>
      <c r="N253" s="34" t="str">
        <f>TEXT(Table1[[#This Row],[Date]],"mmm")</f>
        <v>Nov</v>
      </c>
    </row>
    <row r="254" spans="1:14" x14ac:dyDescent="0.3">
      <c r="A254" s="12" t="s">
        <v>271</v>
      </c>
      <c r="B254" s="13">
        <v>45599</v>
      </c>
      <c r="C254" s="12" t="s">
        <v>26</v>
      </c>
      <c r="D254" s="12" t="s">
        <v>60</v>
      </c>
      <c r="E254" s="12" t="s">
        <v>72</v>
      </c>
      <c r="F254" s="12">
        <v>2</v>
      </c>
      <c r="G254" s="35">
        <v>25105.119999999999</v>
      </c>
      <c r="H254" s="35">
        <v>30616</v>
      </c>
      <c r="I254" s="14">
        <f t="shared" si="26"/>
        <v>50210.239999999998</v>
      </c>
      <c r="J254" s="14">
        <v>61232</v>
      </c>
      <c r="K254" s="15">
        <f t="shared" si="27"/>
        <v>11021.760000000002</v>
      </c>
      <c r="L254" s="14" t="s">
        <v>348</v>
      </c>
      <c r="M254" s="15" t="s">
        <v>377</v>
      </c>
      <c r="N254" s="15" t="str">
        <f>TEXT(Table1[[#This Row],[Date]],"mmm")</f>
        <v>Nov</v>
      </c>
    </row>
    <row r="255" spans="1:14" x14ac:dyDescent="0.3">
      <c r="A255" s="30" t="s">
        <v>292</v>
      </c>
      <c r="B255" s="31">
        <v>45600</v>
      </c>
      <c r="C255" s="30" t="s">
        <v>35</v>
      </c>
      <c r="D255" s="30" t="s">
        <v>60</v>
      </c>
      <c r="E255" s="32" t="s">
        <v>72</v>
      </c>
      <c r="F255" s="30">
        <v>7</v>
      </c>
      <c r="G255" s="38">
        <v>36068.46</v>
      </c>
      <c r="H255" s="38">
        <v>41458</v>
      </c>
      <c r="I255" s="33">
        <f t="shared" si="26"/>
        <v>252479.22</v>
      </c>
      <c r="J255" s="33">
        <v>290206</v>
      </c>
      <c r="K255" s="34">
        <f t="shared" si="27"/>
        <v>37726.78</v>
      </c>
      <c r="L255" s="33" t="s">
        <v>364</v>
      </c>
      <c r="M255" s="34" t="s">
        <v>382</v>
      </c>
      <c r="N255" s="34" t="str">
        <f>TEXT(Table1[[#This Row],[Date]],"mmm")</f>
        <v>Nov</v>
      </c>
    </row>
    <row r="256" spans="1:14" x14ac:dyDescent="0.3">
      <c r="A256" s="12" t="s">
        <v>261</v>
      </c>
      <c r="B256" s="13">
        <v>45603</v>
      </c>
      <c r="C256" s="12" t="s">
        <v>22</v>
      </c>
      <c r="D256" s="12" t="s">
        <v>44</v>
      </c>
      <c r="E256" s="12" t="s">
        <v>73</v>
      </c>
      <c r="F256" s="12">
        <v>6</v>
      </c>
      <c r="G256" s="35">
        <v>3412.2799999999997</v>
      </c>
      <c r="H256" s="35">
        <v>3709</v>
      </c>
      <c r="I256" s="14">
        <f t="shared" si="26"/>
        <v>20473.68</v>
      </c>
      <c r="J256" s="14">
        <v>22254</v>
      </c>
      <c r="K256" s="15">
        <f t="shared" si="27"/>
        <v>1780.3199999999997</v>
      </c>
      <c r="L256" s="14" t="s">
        <v>348</v>
      </c>
      <c r="M256" s="15" t="s">
        <v>367</v>
      </c>
      <c r="N256" s="15" t="str">
        <f>TEXT(Table1[[#This Row],[Date]],"mmm")</f>
        <v>Nov</v>
      </c>
    </row>
    <row r="257" spans="1:14" x14ac:dyDescent="0.3">
      <c r="A257" s="16" t="s">
        <v>18</v>
      </c>
      <c r="B257" s="17">
        <v>45604</v>
      </c>
      <c r="C257" s="16" t="s">
        <v>10</v>
      </c>
      <c r="D257" s="16" t="s">
        <v>13</v>
      </c>
      <c r="E257" s="19" t="s">
        <v>73</v>
      </c>
      <c r="F257" s="16">
        <v>3</v>
      </c>
      <c r="G257" s="37">
        <v>31327.84</v>
      </c>
      <c r="H257" s="37">
        <v>34052</v>
      </c>
      <c r="I257" s="18">
        <f>'01.Table'!$G11*'01.Table'!$F11</f>
        <v>72958.679999999993</v>
      </c>
      <c r="J257" s="18">
        <v>102156</v>
      </c>
      <c r="K257" s="20">
        <f>'01.Table'!$J11-'01.Table'!$I11</f>
        <v>16015.320000000007</v>
      </c>
      <c r="L257" s="18" t="s">
        <v>355</v>
      </c>
      <c r="M257" s="20" t="s">
        <v>357</v>
      </c>
      <c r="N257" s="20" t="str">
        <f>TEXT(Table1[[#This Row],[Date]],"mmm")</f>
        <v>Nov</v>
      </c>
    </row>
    <row r="258" spans="1:14" x14ac:dyDescent="0.3">
      <c r="A258" s="12" t="s">
        <v>117</v>
      </c>
      <c r="B258" s="13">
        <v>45604</v>
      </c>
      <c r="C258" s="12" t="s">
        <v>26</v>
      </c>
      <c r="D258" s="12" t="s">
        <v>44</v>
      </c>
      <c r="E258" s="12" t="s">
        <v>72</v>
      </c>
      <c r="F258" s="12">
        <v>9</v>
      </c>
      <c r="G258" s="35">
        <v>15911.64</v>
      </c>
      <c r="H258" s="35">
        <v>19644</v>
      </c>
      <c r="I258" s="14">
        <f t="shared" ref="I258:I270" si="28">F258*G258</f>
        <v>143204.76</v>
      </c>
      <c r="J258" s="14">
        <v>176796</v>
      </c>
      <c r="K258" s="15">
        <f t="shared" ref="K258:K270" si="29">J258-I258</f>
        <v>33591.239999999991</v>
      </c>
      <c r="L258" s="14" t="s">
        <v>355</v>
      </c>
      <c r="M258" s="15" t="s">
        <v>372</v>
      </c>
      <c r="N258" s="15" t="str">
        <f>TEXT(Table1[[#This Row],[Date]],"mmm")</f>
        <v>Nov</v>
      </c>
    </row>
    <row r="259" spans="1:14" x14ac:dyDescent="0.3">
      <c r="A259" s="16" t="s">
        <v>231</v>
      </c>
      <c r="B259" s="17">
        <v>45605</v>
      </c>
      <c r="C259" s="16" t="s">
        <v>51</v>
      </c>
      <c r="D259" s="16" t="s">
        <v>4</v>
      </c>
      <c r="E259" s="19" t="s">
        <v>73</v>
      </c>
      <c r="F259" s="16">
        <v>5</v>
      </c>
      <c r="G259" s="37">
        <v>10448.620000000001</v>
      </c>
      <c r="H259" s="37">
        <v>11482</v>
      </c>
      <c r="I259" s="18">
        <f t="shared" si="28"/>
        <v>52243.100000000006</v>
      </c>
      <c r="J259" s="18">
        <v>57410</v>
      </c>
      <c r="K259" s="20">
        <f t="shared" si="29"/>
        <v>5166.8999999999942</v>
      </c>
      <c r="L259" s="18" t="s">
        <v>343</v>
      </c>
      <c r="M259" s="20" t="s">
        <v>381</v>
      </c>
      <c r="N259" s="20" t="str">
        <f>TEXT(Table1[[#This Row],[Date]],"mmm")</f>
        <v>Nov</v>
      </c>
    </row>
    <row r="260" spans="1:14" x14ac:dyDescent="0.3">
      <c r="A260" s="8" t="s">
        <v>100</v>
      </c>
      <c r="B260" s="9">
        <v>45606</v>
      </c>
      <c r="C260" s="8" t="s">
        <v>15</v>
      </c>
      <c r="D260" s="8" t="s">
        <v>60</v>
      </c>
      <c r="E260" s="8" t="s">
        <v>72</v>
      </c>
      <c r="F260" s="8">
        <v>8</v>
      </c>
      <c r="G260" s="36">
        <v>8361.5400000000009</v>
      </c>
      <c r="H260" s="36">
        <v>10197</v>
      </c>
      <c r="I260" s="10">
        <f t="shared" si="28"/>
        <v>66892.320000000007</v>
      </c>
      <c r="J260" s="10">
        <v>81576</v>
      </c>
      <c r="K260" s="11">
        <f t="shared" si="29"/>
        <v>14683.679999999993</v>
      </c>
      <c r="L260" s="10" t="s">
        <v>355</v>
      </c>
      <c r="M260" s="11" t="s">
        <v>363</v>
      </c>
      <c r="N260" s="11" t="str">
        <f>TEXT(Table1[[#This Row],[Date]],"mmm")</f>
        <v>Nov</v>
      </c>
    </row>
    <row r="261" spans="1:14" x14ac:dyDescent="0.3">
      <c r="A261" s="30" t="s">
        <v>164</v>
      </c>
      <c r="B261" s="31">
        <v>45609</v>
      </c>
      <c r="C261" s="30" t="s">
        <v>22</v>
      </c>
      <c r="D261" s="30" t="s">
        <v>20</v>
      </c>
      <c r="E261" s="32" t="s">
        <v>73</v>
      </c>
      <c r="F261" s="30">
        <v>4</v>
      </c>
      <c r="G261" s="38">
        <v>43262.559999999998</v>
      </c>
      <c r="H261" s="38">
        <v>49162</v>
      </c>
      <c r="I261" s="33">
        <f t="shared" si="28"/>
        <v>173050.23999999999</v>
      </c>
      <c r="J261" s="33">
        <v>196648</v>
      </c>
      <c r="K261" s="34">
        <f t="shared" si="29"/>
        <v>23597.760000000009</v>
      </c>
      <c r="L261" s="33" t="s">
        <v>348</v>
      </c>
      <c r="M261" s="34" t="s">
        <v>377</v>
      </c>
      <c r="N261" s="34" t="str">
        <f>TEXT(Table1[[#This Row],[Date]],"mmm")</f>
        <v>Nov</v>
      </c>
    </row>
    <row r="262" spans="1:14" x14ac:dyDescent="0.3">
      <c r="A262" s="12" t="s">
        <v>95</v>
      </c>
      <c r="B262" s="13">
        <v>45610</v>
      </c>
      <c r="C262" s="12" t="s">
        <v>3</v>
      </c>
      <c r="D262" s="12" t="s">
        <v>60</v>
      </c>
      <c r="E262" s="12" t="s">
        <v>72</v>
      </c>
      <c r="F262" s="12">
        <v>2</v>
      </c>
      <c r="G262" s="35">
        <v>16590.489999999998</v>
      </c>
      <c r="H262" s="35">
        <v>18641</v>
      </c>
      <c r="I262" s="14">
        <f t="shared" si="28"/>
        <v>33180.979999999996</v>
      </c>
      <c r="J262" s="14">
        <v>37282</v>
      </c>
      <c r="K262" s="15">
        <f t="shared" si="29"/>
        <v>4101.0200000000041</v>
      </c>
      <c r="L262" s="14" t="s">
        <v>345</v>
      </c>
      <c r="M262" s="15" t="s">
        <v>358</v>
      </c>
      <c r="N262" s="15" t="str">
        <f>TEXT(Table1[[#This Row],[Date]],"mmm")</f>
        <v>Nov</v>
      </c>
    </row>
    <row r="263" spans="1:14" x14ac:dyDescent="0.3">
      <c r="A263" s="16" t="s">
        <v>125</v>
      </c>
      <c r="B263" s="17">
        <v>45612</v>
      </c>
      <c r="C263" s="16" t="s">
        <v>51</v>
      </c>
      <c r="D263" s="16" t="s">
        <v>13</v>
      </c>
      <c r="E263" s="19" t="s">
        <v>73</v>
      </c>
      <c r="F263" s="16">
        <v>7</v>
      </c>
      <c r="G263" s="37">
        <v>22873.89</v>
      </c>
      <c r="H263" s="37">
        <v>25701</v>
      </c>
      <c r="I263" s="18">
        <f t="shared" si="28"/>
        <v>160117.22999999998</v>
      </c>
      <c r="J263" s="18">
        <v>179907</v>
      </c>
      <c r="K263" s="20">
        <f t="shared" si="29"/>
        <v>19789.770000000019</v>
      </c>
      <c r="L263" s="18" t="s">
        <v>355</v>
      </c>
      <c r="M263" s="20" t="s">
        <v>374</v>
      </c>
      <c r="N263" s="20" t="str">
        <f>TEXT(Table1[[#This Row],[Date]],"mmm")</f>
        <v>Nov</v>
      </c>
    </row>
    <row r="264" spans="1:14" x14ac:dyDescent="0.3">
      <c r="A264" s="8" t="s">
        <v>134</v>
      </c>
      <c r="B264" s="9">
        <v>45614</v>
      </c>
      <c r="C264" s="8" t="s">
        <v>15</v>
      </c>
      <c r="D264" s="8" t="s">
        <v>37</v>
      </c>
      <c r="E264" s="8" t="s">
        <v>72</v>
      </c>
      <c r="F264" s="8">
        <v>4</v>
      </c>
      <c r="G264" s="36">
        <v>39761.15</v>
      </c>
      <c r="H264" s="36">
        <v>47905</v>
      </c>
      <c r="I264" s="10">
        <f t="shared" si="28"/>
        <v>159044.6</v>
      </c>
      <c r="J264" s="10">
        <v>191620</v>
      </c>
      <c r="K264" s="11">
        <f t="shared" si="29"/>
        <v>32575.399999999994</v>
      </c>
      <c r="L264" s="10" t="s">
        <v>351</v>
      </c>
      <c r="M264" s="11" t="s">
        <v>352</v>
      </c>
      <c r="N264" s="11" t="str">
        <f>TEXT(Table1[[#This Row],[Date]],"mmm")</f>
        <v>Nov</v>
      </c>
    </row>
    <row r="265" spans="1:14" x14ac:dyDescent="0.3">
      <c r="A265" s="30" t="s">
        <v>192</v>
      </c>
      <c r="B265" s="31">
        <v>45614</v>
      </c>
      <c r="C265" s="30" t="s">
        <v>8</v>
      </c>
      <c r="D265" s="30" t="s">
        <v>37</v>
      </c>
      <c r="E265" s="32" t="s">
        <v>72</v>
      </c>
      <c r="F265" s="30">
        <v>4</v>
      </c>
      <c r="G265" s="38">
        <v>28646.489999999998</v>
      </c>
      <c r="H265" s="38">
        <v>32927</v>
      </c>
      <c r="I265" s="33">
        <f t="shared" si="28"/>
        <v>114585.95999999999</v>
      </c>
      <c r="J265" s="33">
        <v>131708</v>
      </c>
      <c r="K265" s="34">
        <f t="shared" si="29"/>
        <v>17122.040000000008</v>
      </c>
      <c r="L265" s="33" t="s">
        <v>355</v>
      </c>
      <c r="M265" s="34" t="s">
        <v>379</v>
      </c>
      <c r="N265" s="34" t="str">
        <f>TEXT(Table1[[#This Row],[Date]],"mmm")</f>
        <v>Nov</v>
      </c>
    </row>
    <row r="266" spans="1:14" x14ac:dyDescent="0.3">
      <c r="A266" s="12" t="s">
        <v>293</v>
      </c>
      <c r="B266" s="13">
        <v>45615</v>
      </c>
      <c r="C266" s="12" t="s">
        <v>3</v>
      </c>
      <c r="D266" s="12" t="s">
        <v>44</v>
      </c>
      <c r="E266" s="12" t="s">
        <v>72</v>
      </c>
      <c r="F266" s="12">
        <v>10</v>
      </c>
      <c r="G266" s="35">
        <v>27446.9</v>
      </c>
      <c r="H266" s="35">
        <v>31915</v>
      </c>
      <c r="I266" s="14">
        <f t="shared" si="28"/>
        <v>274469</v>
      </c>
      <c r="J266" s="14">
        <v>319150</v>
      </c>
      <c r="K266" s="15">
        <f t="shared" si="29"/>
        <v>44681</v>
      </c>
      <c r="L266" s="14" t="s">
        <v>345</v>
      </c>
      <c r="M266" s="15" t="s">
        <v>375</v>
      </c>
      <c r="N266" s="15" t="str">
        <f>TEXT(Table1[[#This Row],[Date]],"mmm")</f>
        <v>Nov</v>
      </c>
    </row>
    <row r="267" spans="1:14" x14ac:dyDescent="0.3">
      <c r="A267" s="16" t="s">
        <v>145</v>
      </c>
      <c r="B267" s="17">
        <v>45619</v>
      </c>
      <c r="C267" s="16" t="s">
        <v>8</v>
      </c>
      <c r="D267" s="16" t="s">
        <v>4</v>
      </c>
      <c r="E267" s="19" t="s">
        <v>73</v>
      </c>
      <c r="F267" s="16">
        <v>4</v>
      </c>
      <c r="G267" s="37">
        <v>32867.919999999998</v>
      </c>
      <c r="H267" s="37">
        <v>35726</v>
      </c>
      <c r="I267" s="18">
        <f t="shared" si="28"/>
        <v>131471.67999999999</v>
      </c>
      <c r="J267" s="18">
        <v>142904</v>
      </c>
      <c r="K267" s="20">
        <f t="shared" si="29"/>
        <v>11432.320000000007</v>
      </c>
      <c r="L267" s="18" t="s">
        <v>364</v>
      </c>
      <c r="M267" s="20" t="s">
        <v>382</v>
      </c>
      <c r="N267" s="20" t="str">
        <f>TEXT(Table1[[#This Row],[Date]],"mmm")</f>
        <v>Nov</v>
      </c>
    </row>
    <row r="268" spans="1:14" x14ac:dyDescent="0.3">
      <c r="A268" s="12" t="s">
        <v>149</v>
      </c>
      <c r="B268" s="13">
        <v>45619</v>
      </c>
      <c r="C268" s="12" t="s">
        <v>10</v>
      </c>
      <c r="D268" s="12" t="s">
        <v>4</v>
      </c>
      <c r="E268" s="12" t="s">
        <v>73</v>
      </c>
      <c r="F268" s="12">
        <v>2</v>
      </c>
      <c r="G268" s="35">
        <v>39979.75</v>
      </c>
      <c r="H268" s="35">
        <v>47035</v>
      </c>
      <c r="I268" s="14">
        <f t="shared" si="28"/>
        <v>79959.5</v>
      </c>
      <c r="J268" s="14">
        <v>94070</v>
      </c>
      <c r="K268" s="15">
        <f t="shared" si="29"/>
        <v>14110.5</v>
      </c>
      <c r="L268" s="14" t="s">
        <v>364</v>
      </c>
      <c r="M268" s="15" t="s">
        <v>383</v>
      </c>
      <c r="N268" s="15" t="str">
        <f>TEXT(Table1[[#This Row],[Date]],"mmm")</f>
        <v>Nov</v>
      </c>
    </row>
    <row r="269" spans="1:14" x14ac:dyDescent="0.3">
      <c r="A269" s="16" t="s">
        <v>221</v>
      </c>
      <c r="B269" s="17">
        <v>45619</v>
      </c>
      <c r="C269" s="16" t="s">
        <v>8</v>
      </c>
      <c r="D269" s="16" t="s">
        <v>37</v>
      </c>
      <c r="E269" s="19" t="s">
        <v>72</v>
      </c>
      <c r="F269" s="16">
        <v>6</v>
      </c>
      <c r="G269" s="37">
        <v>36960.550000000003</v>
      </c>
      <c r="H269" s="37">
        <v>43483</v>
      </c>
      <c r="I269" s="18">
        <f t="shared" si="28"/>
        <v>221763.30000000002</v>
      </c>
      <c r="J269" s="18">
        <v>260898</v>
      </c>
      <c r="K269" s="20">
        <f t="shared" si="29"/>
        <v>39134.699999999983</v>
      </c>
      <c r="L269" s="18" t="s">
        <v>355</v>
      </c>
      <c r="M269" s="20" t="s">
        <v>372</v>
      </c>
      <c r="N269" s="20" t="str">
        <f>TEXT(Table1[[#This Row],[Date]],"mmm")</f>
        <v>Nov</v>
      </c>
    </row>
    <row r="270" spans="1:14" x14ac:dyDescent="0.3">
      <c r="A270" s="12" t="s">
        <v>273</v>
      </c>
      <c r="B270" s="13">
        <v>45622</v>
      </c>
      <c r="C270" s="12" t="s">
        <v>26</v>
      </c>
      <c r="D270" s="12" t="s">
        <v>44</v>
      </c>
      <c r="E270" s="12" t="s">
        <v>73</v>
      </c>
      <c r="F270" s="12">
        <v>9</v>
      </c>
      <c r="G270" s="35">
        <v>23850.879999999997</v>
      </c>
      <c r="H270" s="35">
        <v>28736</v>
      </c>
      <c r="I270" s="14">
        <f t="shared" si="28"/>
        <v>214657.91999999998</v>
      </c>
      <c r="J270" s="14">
        <v>258624</v>
      </c>
      <c r="K270" s="15">
        <f t="shared" si="29"/>
        <v>43966.080000000016</v>
      </c>
      <c r="L270" s="14" t="s">
        <v>351</v>
      </c>
      <c r="M270" s="15" t="s">
        <v>353</v>
      </c>
      <c r="N270" s="15" t="str">
        <f>TEXT(Table1[[#This Row],[Date]],"mmm")</f>
        <v>Nov</v>
      </c>
    </row>
    <row r="271" spans="1:14" x14ac:dyDescent="0.3">
      <c r="A271" s="30" t="s">
        <v>19</v>
      </c>
      <c r="B271" s="31">
        <v>45623</v>
      </c>
      <c r="C271" s="30" t="s">
        <v>6</v>
      </c>
      <c r="D271" s="30" t="s">
        <v>20</v>
      </c>
      <c r="E271" s="32" t="s">
        <v>73</v>
      </c>
      <c r="F271" s="30">
        <v>6</v>
      </c>
      <c r="G271" s="38">
        <v>6919.83</v>
      </c>
      <c r="H271" s="38">
        <v>8543</v>
      </c>
      <c r="I271" s="33">
        <f>'01.Table'!$G12*'01.Table'!$F12</f>
        <v>256488</v>
      </c>
      <c r="J271" s="33">
        <v>51258</v>
      </c>
      <c r="K271" s="34">
        <f>'01.Table'!$J12-'01.Table'!$I12</f>
        <v>281723.88</v>
      </c>
      <c r="L271" s="33" t="s">
        <v>345</v>
      </c>
      <c r="M271" s="34" t="s">
        <v>358</v>
      </c>
      <c r="N271" s="34" t="str">
        <f>TEXT(Table1[[#This Row],[Date]],"mmm")</f>
        <v>Nov</v>
      </c>
    </row>
    <row r="272" spans="1:14" x14ac:dyDescent="0.3">
      <c r="A272" s="8" t="s">
        <v>238</v>
      </c>
      <c r="B272" s="9">
        <v>45623</v>
      </c>
      <c r="C272" s="8" t="s">
        <v>15</v>
      </c>
      <c r="D272" s="8" t="s">
        <v>49</v>
      </c>
      <c r="E272" s="8" t="s">
        <v>72</v>
      </c>
      <c r="F272" s="8">
        <v>9</v>
      </c>
      <c r="G272" s="36">
        <v>9315.09</v>
      </c>
      <c r="H272" s="36">
        <v>11223</v>
      </c>
      <c r="I272" s="10">
        <f>F272*G272</f>
        <v>83835.81</v>
      </c>
      <c r="J272" s="10">
        <v>101007</v>
      </c>
      <c r="K272" s="11">
        <f>J272-I272</f>
        <v>17171.190000000002</v>
      </c>
      <c r="L272" s="10" t="s">
        <v>345</v>
      </c>
      <c r="M272" s="11" t="s">
        <v>358</v>
      </c>
      <c r="N272" s="11" t="str">
        <f>TEXT(Table1[[#This Row],[Date]],"mmm")</f>
        <v>Nov</v>
      </c>
    </row>
    <row r="273" spans="1:14" x14ac:dyDescent="0.3">
      <c r="A273" s="30" t="s">
        <v>168</v>
      </c>
      <c r="B273" s="31">
        <v>45624</v>
      </c>
      <c r="C273" s="30" t="s">
        <v>31</v>
      </c>
      <c r="D273" s="30" t="s">
        <v>20</v>
      </c>
      <c r="E273" s="32" t="s">
        <v>73</v>
      </c>
      <c r="F273" s="30">
        <v>10</v>
      </c>
      <c r="G273" s="38">
        <v>3763.2</v>
      </c>
      <c r="H273" s="38">
        <v>4480</v>
      </c>
      <c r="I273" s="33">
        <f>F273*G273</f>
        <v>37632</v>
      </c>
      <c r="J273" s="33">
        <v>44800</v>
      </c>
      <c r="K273" s="34">
        <f>J273-I273</f>
        <v>7168</v>
      </c>
      <c r="L273" s="33" t="s">
        <v>351</v>
      </c>
      <c r="M273" s="34" t="s">
        <v>361</v>
      </c>
      <c r="N273" s="34" t="str">
        <f>TEXT(Table1[[#This Row],[Date]],"mmm")</f>
        <v>Nov</v>
      </c>
    </row>
    <row r="274" spans="1:14" x14ac:dyDescent="0.3">
      <c r="A274" s="12" t="s">
        <v>57</v>
      </c>
      <c r="B274" s="13">
        <v>45625</v>
      </c>
      <c r="C274" s="12" t="s">
        <v>51</v>
      </c>
      <c r="D274" s="12" t="s">
        <v>49</v>
      </c>
      <c r="E274" s="12" t="s">
        <v>73</v>
      </c>
      <c r="F274" s="12">
        <v>4</v>
      </c>
      <c r="G274" s="35">
        <v>25352.799999999999</v>
      </c>
      <c r="H274" s="35">
        <v>28810</v>
      </c>
      <c r="I274" s="14">
        <f>'01.Table'!$G39*'01.Table'!$F39</f>
        <v>70510.5</v>
      </c>
      <c r="J274" s="14">
        <v>115240</v>
      </c>
      <c r="K274" s="15">
        <f>'01.Table'!$J39-'01.Table'!$I39</f>
        <v>25303.020000000004</v>
      </c>
      <c r="L274" s="14" t="s">
        <v>364</v>
      </c>
      <c r="M274" s="15" t="s">
        <v>371</v>
      </c>
      <c r="N274" s="15" t="str">
        <f>TEXT(Table1[[#This Row],[Date]],"mmm")</f>
        <v>Nov</v>
      </c>
    </row>
    <row r="275" spans="1:14" x14ac:dyDescent="0.3">
      <c r="A275" s="30" t="s">
        <v>274</v>
      </c>
      <c r="B275" s="31">
        <v>45625</v>
      </c>
      <c r="C275" s="30" t="s">
        <v>26</v>
      </c>
      <c r="D275" s="30" t="s">
        <v>44</v>
      </c>
      <c r="E275" s="32" t="s">
        <v>73</v>
      </c>
      <c r="F275" s="30">
        <v>4</v>
      </c>
      <c r="G275" s="38">
        <v>13832.24</v>
      </c>
      <c r="H275" s="38">
        <v>16084</v>
      </c>
      <c r="I275" s="33">
        <f t="shared" ref="I275:I284" si="30">F275*G275</f>
        <v>55328.959999999999</v>
      </c>
      <c r="J275" s="33">
        <v>64336</v>
      </c>
      <c r="K275" s="34">
        <f t="shared" ref="K275:K284" si="31">J275-I275</f>
        <v>9007.0400000000009</v>
      </c>
      <c r="L275" s="33" t="s">
        <v>351</v>
      </c>
      <c r="M275" s="34" t="s">
        <v>361</v>
      </c>
      <c r="N275" s="34" t="str">
        <f>TEXT(Table1[[#This Row],[Date]],"mmm")</f>
        <v>Nov</v>
      </c>
    </row>
    <row r="276" spans="1:14" x14ac:dyDescent="0.3">
      <c r="A276" s="12" t="s">
        <v>283</v>
      </c>
      <c r="B276" s="13">
        <v>45627</v>
      </c>
      <c r="C276" s="12" t="s">
        <v>26</v>
      </c>
      <c r="D276" s="12" t="s">
        <v>37</v>
      </c>
      <c r="E276" s="12" t="s">
        <v>73</v>
      </c>
      <c r="F276" s="12">
        <v>1</v>
      </c>
      <c r="G276" s="35">
        <v>20604.78</v>
      </c>
      <c r="H276" s="35">
        <v>25438</v>
      </c>
      <c r="I276" s="14">
        <f t="shared" si="30"/>
        <v>20604.78</v>
      </c>
      <c r="J276" s="14">
        <v>25438</v>
      </c>
      <c r="K276" s="15">
        <f t="shared" si="31"/>
        <v>4833.2200000000012</v>
      </c>
      <c r="L276" s="14" t="s">
        <v>343</v>
      </c>
      <c r="M276" s="15" t="s">
        <v>369</v>
      </c>
      <c r="N276" s="15" t="str">
        <f>TEXT(Table1[[#This Row],[Date]],"mmm")</f>
        <v>Dec</v>
      </c>
    </row>
    <row r="277" spans="1:14" x14ac:dyDescent="0.3">
      <c r="A277" s="30" t="s">
        <v>160</v>
      </c>
      <c r="B277" s="31">
        <v>45627</v>
      </c>
      <c r="C277" s="30" t="s">
        <v>3</v>
      </c>
      <c r="D277" s="30" t="s">
        <v>37</v>
      </c>
      <c r="E277" s="32" t="s">
        <v>73</v>
      </c>
      <c r="F277" s="30">
        <v>8</v>
      </c>
      <c r="G277" s="38">
        <v>3304.12</v>
      </c>
      <c r="H277" s="38">
        <v>3842</v>
      </c>
      <c r="I277" s="33">
        <f t="shared" si="30"/>
        <v>26432.959999999999</v>
      </c>
      <c r="J277" s="33">
        <v>30736</v>
      </c>
      <c r="K277" s="34">
        <f t="shared" si="31"/>
        <v>4303.0400000000009</v>
      </c>
      <c r="L277" s="33" t="s">
        <v>364</v>
      </c>
      <c r="M277" s="34" t="s">
        <v>371</v>
      </c>
      <c r="N277" s="34" t="str">
        <f>TEXT(Table1[[#This Row],[Date]],"mmm")</f>
        <v>Dec</v>
      </c>
    </row>
    <row r="278" spans="1:14" x14ac:dyDescent="0.3">
      <c r="A278" s="8" t="s">
        <v>330</v>
      </c>
      <c r="B278" s="9">
        <v>45627</v>
      </c>
      <c r="C278" s="8" t="s">
        <v>26</v>
      </c>
      <c r="D278" s="8" t="s">
        <v>37</v>
      </c>
      <c r="E278" s="8" t="s">
        <v>72</v>
      </c>
      <c r="F278" s="8">
        <v>1</v>
      </c>
      <c r="G278" s="36">
        <v>12165.12</v>
      </c>
      <c r="H278" s="36">
        <v>13824</v>
      </c>
      <c r="I278" s="10">
        <f t="shared" si="30"/>
        <v>12165.12</v>
      </c>
      <c r="J278" s="10">
        <v>13824</v>
      </c>
      <c r="K278" s="11">
        <f t="shared" si="31"/>
        <v>1658.8799999999992</v>
      </c>
      <c r="L278" s="10" t="s">
        <v>364</v>
      </c>
      <c r="M278" s="11" t="s">
        <v>368</v>
      </c>
      <c r="N278" s="11" t="str">
        <f>TEXT(Table1[[#This Row],[Date]],"mmm")</f>
        <v>Dec</v>
      </c>
    </row>
    <row r="279" spans="1:14" x14ac:dyDescent="0.3">
      <c r="A279" s="30" t="s">
        <v>328</v>
      </c>
      <c r="B279" s="31">
        <v>45628</v>
      </c>
      <c r="C279" s="30" t="s">
        <v>10</v>
      </c>
      <c r="D279" s="30" t="s">
        <v>49</v>
      </c>
      <c r="E279" s="32" t="s">
        <v>72</v>
      </c>
      <c r="F279" s="30">
        <v>3</v>
      </c>
      <c r="G279" s="38">
        <v>16499.57</v>
      </c>
      <c r="H279" s="38">
        <v>19879</v>
      </c>
      <c r="I279" s="33">
        <f t="shared" si="30"/>
        <v>49498.71</v>
      </c>
      <c r="J279" s="33">
        <v>59637</v>
      </c>
      <c r="K279" s="34">
        <f t="shared" si="31"/>
        <v>10138.290000000001</v>
      </c>
      <c r="L279" s="33" t="s">
        <v>343</v>
      </c>
      <c r="M279" s="34" t="s">
        <v>344</v>
      </c>
      <c r="N279" s="34" t="str">
        <f>TEXT(Table1[[#This Row],[Date]],"mmm")</f>
        <v>Dec</v>
      </c>
    </row>
    <row r="280" spans="1:14" x14ac:dyDescent="0.3">
      <c r="A280" s="12" t="s">
        <v>321</v>
      </c>
      <c r="B280" s="13">
        <v>45631</v>
      </c>
      <c r="C280" s="12" t="s">
        <v>8</v>
      </c>
      <c r="D280" s="12" t="s">
        <v>44</v>
      </c>
      <c r="E280" s="12" t="s">
        <v>72</v>
      </c>
      <c r="F280" s="12">
        <v>1</v>
      </c>
      <c r="G280" s="35">
        <v>25505.95</v>
      </c>
      <c r="H280" s="35">
        <v>30007</v>
      </c>
      <c r="I280" s="14">
        <f t="shared" si="30"/>
        <v>25505.95</v>
      </c>
      <c r="J280" s="14">
        <v>30007</v>
      </c>
      <c r="K280" s="15">
        <f t="shared" si="31"/>
        <v>4501.0499999999993</v>
      </c>
      <c r="L280" s="14" t="s">
        <v>351</v>
      </c>
      <c r="M280" s="15" t="s">
        <v>352</v>
      </c>
      <c r="N280" s="15" t="str">
        <f>TEXT(Table1[[#This Row],[Date]],"mmm")</f>
        <v>Dec</v>
      </c>
    </row>
    <row r="281" spans="1:14" x14ac:dyDescent="0.3">
      <c r="A281" s="16" t="s">
        <v>147</v>
      </c>
      <c r="B281" s="17">
        <v>45632</v>
      </c>
      <c r="C281" s="16" t="s">
        <v>24</v>
      </c>
      <c r="D281" s="16" t="s">
        <v>37</v>
      </c>
      <c r="E281" s="19" t="s">
        <v>72</v>
      </c>
      <c r="F281" s="16">
        <v>3</v>
      </c>
      <c r="G281" s="37">
        <v>13288.3</v>
      </c>
      <c r="H281" s="37">
        <v>16010</v>
      </c>
      <c r="I281" s="18">
        <f t="shared" si="30"/>
        <v>39864.899999999994</v>
      </c>
      <c r="J281" s="18">
        <v>48030</v>
      </c>
      <c r="K281" s="20">
        <f t="shared" si="31"/>
        <v>8165.1000000000058</v>
      </c>
      <c r="L281" s="18" t="s">
        <v>355</v>
      </c>
      <c r="M281" s="20" t="s">
        <v>357</v>
      </c>
      <c r="N281" s="20" t="str">
        <f>TEXT(Table1[[#This Row],[Date]],"mmm")</f>
        <v>Dec</v>
      </c>
    </row>
    <row r="282" spans="1:14" x14ac:dyDescent="0.3">
      <c r="A282" s="8" t="s">
        <v>142</v>
      </c>
      <c r="B282" s="9">
        <v>45633</v>
      </c>
      <c r="C282" s="8" t="s">
        <v>22</v>
      </c>
      <c r="D282" s="8" t="s">
        <v>44</v>
      </c>
      <c r="E282" s="8" t="s">
        <v>73</v>
      </c>
      <c r="F282" s="8">
        <v>4</v>
      </c>
      <c r="G282" s="36">
        <v>32947.199999999997</v>
      </c>
      <c r="H282" s="36">
        <v>37440</v>
      </c>
      <c r="I282" s="10">
        <f t="shared" si="30"/>
        <v>131788.79999999999</v>
      </c>
      <c r="J282" s="10">
        <v>149760</v>
      </c>
      <c r="K282" s="11">
        <f t="shared" si="31"/>
        <v>17971.200000000012</v>
      </c>
      <c r="L282" s="10" t="s">
        <v>351</v>
      </c>
      <c r="M282" s="11" t="s">
        <v>352</v>
      </c>
      <c r="N282" s="11" t="str">
        <f>TEXT(Table1[[#This Row],[Date]],"mmm")</f>
        <v>Dec</v>
      </c>
    </row>
    <row r="283" spans="1:14" x14ac:dyDescent="0.3">
      <c r="A283" s="16" t="s">
        <v>127</v>
      </c>
      <c r="B283" s="17">
        <v>45634</v>
      </c>
      <c r="C283" s="16" t="s">
        <v>15</v>
      </c>
      <c r="D283" s="16" t="s">
        <v>49</v>
      </c>
      <c r="E283" s="19" t="s">
        <v>72</v>
      </c>
      <c r="F283" s="16">
        <v>10</v>
      </c>
      <c r="G283" s="37">
        <v>39427.199999999997</v>
      </c>
      <c r="H283" s="37">
        <v>43808</v>
      </c>
      <c r="I283" s="18">
        <f t="shared" si="30"/>
        <v>394272</v>
      </c>
      <c r="J283" s="18">
        <v>438080</v>
      </c>
      <c r="K283" s="20">
        <f t="shared" si="31"/>
        <v>43808</v>
      </c>
      <c r="L283" s="18" t="s">
        <v>351</v>
      </c>
      <c r="M283" s="20" t="s">
        <v>352</v>
      </c>
      <c r="N283" s="20" t="str">
        <f>TEXT(Table1[[#This Row],[Date]],"mmm")</f>
        <v>Dec</v>
      </c>
    </row>
    <row r="284" spans="1:14" x14ac:dyDescent="0.3">
      <c r="A284" s="8" t="s">
        <v>212</v>
      </c>
      <c r="B284" s="9">
        <v>45635</v>
      </c>
      <c r="C284" s="8" t="s">
        <v>6</v>
      </c>
      <c r="D284" s="8" t="s">
        <v>28</v>
      </c>
      <c r="E284" s="8" t="s">
        <v>73</v>
      </c>
      <c r="F284" s="8">
        <v>10</v>
      </c>
      <c r="G284" s="36">
        <v>11501.4</v>
      </c>
      <c r="H284" s="36">
        <v>13220</v>
      </c>
      <c r="I284" s="10">
        <f t="shared" si="30"/>
        <v>115014</v>
      </c>
      <c r="J284" s="10">
        <v>132200</v>
      </c>
      <c r="K284" s="11">
        <f t="shared" si="31"/>
        <v>17186</v>
      </c>
      <c r="L284" s="10" t="s">
        <v>343</v>
      </c>
      <c r="M284" s="11" t="s">
        <v>376</v>
      </c>
      <c r="N284" s="11" t="str">
        <f>TEXT(Table1[[#This Row],[Date]],"mmm")</f>
        <v>Dec</v>
      </c>
    </row>
    <row r="285" spans="1:14" x14ac:dyDescent="0.3">
      <c r="A285" s="30" t="s">
        <v>14</v>
      </c>
      <c r="B285" s="31">
        <v>45636</v>
      </c>
      <c r="C285" s="30" t="s">
        <v>15</v>
      </c>
      <c r="D285" s="30" t="s">
        <v>13</v>
      </c>
      <c r="E285" s="32" t="s">
        <v>72</v>
      </c>
      <c r="F285" s="30">
        <v>4</v>
      </c>
      <c r="G285" s="38">
        <v>17321.27</v>
      </c>
      <c r="H285" s="38">
        <v>20869</v>
      </c>
      <c r="I285" s="33">
        <f>'01.Table'!$G8*'01.Table'!$F8</f>
        <v>79446.42</v>
      </c>
      <c r="J285" s="33">
        <v>83476</v>
      </c>
      <c r="K285" s="34">
        <f>'01.Table'!$J8-'01.Table'!$I8</f>
        <v>18635.580000000002</v>
      </c>
      <c r="L285" s="33" t="s">
        <v>351</v>
      </c>
      <c r="M285" s="34" t="s">
        <v>353</v>
      </c>
      <c r="N285" s="34" t="str">
        <f>TEXT(Table1[[#This Row],[Date]],"mmm")</f>
        <v>Dec</v>
      </c>
    </row>
    <row r="286" spans="1:14" x14ac:dyDescent="0.3">
      <c r="A286" s="12" t="s">
        <v>219</v>
      </c>
      <c r="B286" s="13">
        <v>45636</v>
      </c>
      <c r="C286" s="12" t="s">
        <v>31</v>
      </c>
      <c r="D286" s="12" t="s">
        <v>20</v>
      </c>
      <c r="E286" s="12" t="s">
        <v>72</v>
      </c>
      <c r="F286" s="12">
        <v>6</v>
      </c>
      <c r="G286" s="35">
        <v>2116.8000000000002</v>
      </c>
      <c r="H286" s="35">
        <v>2352</v>
      </c>
      <c r="I286" s="14">
        <f>F286*G286</f>
        <v>12700.800000000001</v>
      </c>
      <c r="J286" s="14">
        <v>14112</v>
      </c>
      <c r="K286" s="15">
        <f>J286-I286</f>
        <v>1411.1999999999989</v>
      </c>
      <c r="L286" s="14" t="s">
        <v>351</v>
      </c>
      <c r="M286" s="15" t="s">
        <v>353</v>
      </c>
      <c r="N286" s="15" t="str">
        <f>TEXT(Table1[[#This Row],[Date]],"mmm")</f>
        <v>Dec</v>
      </c>
    </row>
    <row r="287" spans="1:14" x14ac:dyDescent="0.3">
      <c r="A287" s="30" t="s">
        <v>36</v>
      </c>
      <c r="B287" s="31">
        <v>45637</v>
      </c>
      <c r="C287" s="30" t="s">
        <v>3</v>
      </c>
      <c r="D287" s="30" t="s">
        <v>37</v>
      </c>
      <c r="E287" s="32" t="s">
        <v>72</v>
      </c>
      <c r="F287" s="30">
        <v>2</v>
      </c>
      <c r="G287" s="38">
        <v>35728.699999999997</v>
      </c>
      <c r="H287" s="38">
        <v>41545</v>
      </c>
      <c r="I287" s="33">
        <f>'01.Table'!$G22*'01.Table'!$F22</f>
        <v>267251.40000000002</v>
      </c>
      <c r="J287" s="33">
        <v>83090</v>
      </c>
      <c r="K287" s="34">
        <f>'01.Table'!$J22-'01.Table'!$I22</f>
        <v>29694.599999999977</v>
      </c>
      <c r="L287" s="33" t="s">
        <v>348</v>
      </c>
      <c r="M287" s="34" t="s">
        <v>367</v>
      </c>
      <c r="N287" s="34" t="str">
        <f>TEXT(Table1[[#This Row],[Date]],"mmm")</f>
        <v>Dec</v>
      </c>
    </row>
    <row r="288" spans="1:14" x14ac:dyDescent="0.3">
      <c r="A288" s="12" t="s">
        <v>137</v>
      </c>
      <c r="B288" s="13">
        <v>45639</v>
      </c>
      <c r="C288" s="12" t="s">
        <v>8</v>
      </c>
      <c r="D288" s="12" t="s">
        <v>49</v>
      </c>
      <c r="E288" s="12" t="s">
        <v>72</v>
      </c>
      <c r="F288" s="12">
        <v>10</v>
      </c>
      <c r="G288" s="35">
        <v>2725.6800000000003</v>
      </c>
      <c r="H288" s="35">
        <v>3324</v>
      </c>
      <c r="I288" s="14">
        <f>F288*G288</f>
        <v>27256.800000000003</v>
      </c>
      <c r="J288" s="14">
        <v>33240</v>
      </c>
      <c r="K288" s="15">
        <f>J288-I288</f>
        <v>5983.1999999999971</v>
      </c>
      <c r="L288" s="14" t="s">
        <v>345</v>
      </c>
      <c r="M288" s="15" t="s">
        <v>346</v>
      </c>
      <c r="N288" s="15" t="str">
        <f>TEXT(Table1[[#This Row],[Date]],"mmm")</f>
        <v>Dec</v>
      </c>
    </row>
    <row r="289" spans="1:14" x14ac:dyDescent="0.3">
      <c r="A289" s="16" t="s">
        <v>185</v>
      </c>
      <c r="B289" s="17">
        <v>45639</v>
      </c>
      <c r="C289" s="16" t="s">
        <v>8</v>
      </c>
      <c r="D289" s="16" t="s">
        <v>28</v>
      </c>
      <c r="E289" s="19" t="s">
        <v>73</v>
      </c>
      <c r="F289" s="16">
        <v>7</v>
      </c>
      <c r="G289" s="37">
        <v>30449.7</v>
      </c>
      <c r="H289" s="37">
        <v>33833</v>
      </c>
      <c r="I289" s="18">
        <f>F289*G289</f>
        <v>213147.9</v>
      </c>
      <c r="J289" s="18">
        <v>236831</v>
      </c>
      <c r="K289" s="20">
        <f>J289-I289</f>
        <v>23683.100000000006</v>
      </c>
      <c r="L289" s="18" t="s">
        <v>364</v>
      </c>
      <c r="M289" s="20" t="s">
        <v>382</v>
      </c>
      <c r="N289" s="20" t="str">
        <f>TEXT(Table1[[#This Row],[Date]],"mmm")</f>
        <v>Dec</v>
      </c>
    </row>
    <row r="290" spans="1:14" x14ac:dyDescent="0.3">
      <c r="A290" s="8" t="s">
        <v>300</v>
      </c>
      <c r="B290" s="9">
        <v>45643</v>
      </c>
      <c r="C290" s="8" t="s">
        <v>24</v>
      </c>
      <c r="D290" s="8" t="s">
        <v>37</v>
      </c>
      <c r="E290" s="8" t="s">
        <v>72</v>
      </c>
      <c r="F290" s="8">
        <v>2</v>
      </c>
      <c r="G290" s="36">
        <v>21427.72</v>
      </c>
      <c r="H290" s="36">
        <v>23291</v>
      </c>
      <c r="I290" s="10">
        <f>F290*G290</f>
        <v>42855.44</v>
      </c>
      <c r="J290" s="10">
        <v>46582</v>
      </c>
      <c r="K290" s="11">
        <f>J290-I290</f>
        <v>3726.5599999999977</v>
      </c>
      <c r="L290" s="10" t="s">
        <v>343</v>
      </c>
      <c r="M290" s="11" t="s">
        <v>369</v>
      </c>
      <c r="N290" s="11" t="str">
        <f>TEXT(Table1[[#This Row],[Date]],"mmm")</f>
        <v>Dec</v>
      </c>
    </row>
    <row r="291" spans="1:14" x14ac:dyDescent="0.3">
      <c r="A291" s="30" t="s">
        <v>65</v>
      </c>
      <c r="B291" s="31">
        <v>45644</v>
      </c>
      <c r="C291" s="30" t="s">
        <v>8</v>
      </c>
      <c r="D291" s="30" t="s">
        <v>60</v>
      </c>
      <c r="E291" s="32" t="s">
        <v>73</v>
      </c>
      <c r="F291" s="30">
        <v>1</v>
      </c>
      <c r="G291" s="38">
        <v>17635.2</v>
      </c>
      <c r="H291" s="38">
        <v>20040</v>
      </c>
      <c r="I291" s="33">
        <f>'01.Table'!$G46*'01.Table'!$F46</f>
        <v>83946</v>
      </c>
      <c r="J291" s="33">
        <v>20040</v>
      </c>
      <c r="K291" s="34">
        <f>'01.Table'!$J46-'01.Table'!$I46</f>
        <v>14814</v>
      </c>
      <c r="L291" s="33" t="s">
        <v>343</v>
      </c>
      <c r="M291" s="34" t="s">
        <v>369</v>
      </c>
      <c r="N291" s="34" t="str">
        <f>TEXT(Table1[[#This Row],[Date]],"mmm")</f>
        <v>Dec</v>
      </c>
    </row>
    <row r="292" spans="1:14" x14ac:dyDescent="0.3">
      <c r="A292" s="12" t="s">
        <v>289</v>
      </c>
      <c r="B292" s="13">
        <v>45644</v>
      </c>
      <c r="C292" s="12" t="s">
        <v>24</v>
      </c>
      <c r="D292" s="12" t="s">
        <v>44</v>
      </c>
      <c r="E292" s="12" t="s">
        <v>73</v>
      </c>
      <c r="F292" s="12">
        <v>3</v>
      </c>
      <c r="G292" s="35">
        <v>29613.360000000001</v>
      </c>
      <c r="H292" s="35">
        <v>35254</v>
      </c>
      <c r="I292" s="14">
        <f>F292*G292</f>
        <v>88840.08</v>
      </c>
      <c r="J292" s="14">
        <v>105762</v>
      </c>
      <c r="K292" s="15">
        <f>J292-I292</f>
        <v>16921.919999999998</v>
      </c>
      <c r="L292" s="14" t="s">
        <v>348</v>
      </c>
      <c r="M292" s="15" t="s">
        <v>377</v>
      </c>
      <c r="N292" s="15" t="str">
        <f>TEXT(Table1[[#This Row],[Date]],"mmm")</f>
        <v>Dec</v>
      </c>
    </row>
    <row r="293" spans="1:14" x14ac:dyDescent="0.3">
      <c r="A293" s="30" t="s">
        <v>166</v>
      </c>
      <c r="B293" s="31">
        <v>45646</v>
      </c>
      <c r="C293" s="30" t="s">
        <v>22</v>
      </c>
      <c r="D293" s="30" t="s">
        <v>20</v>
      </c>
      <c r="E293" s="32" t="s">
        <v>73</v>
      </c>
      <c r="F293" s="30">
        <v>6</v>
      </c>
      <c r="G293" s="38">
        <v>16350.8</v>
      </c>
      <c r="H293" s="38">
        <v>19940</v>
      </c>
      <c r="I293" s="33">
        <f>F293*G293</f>
        <v>98104.799999999988</v>
      </c>
      <c r="J293" s="33">
        <v>119640</v>
      </c>
      <c r="K293" s="34">
        <f>J293-I293</f>
        <v>21535.200000000012</v>
      </c>
      <c r="L293" s="33" t="s">
        <v>348</v>
      </c>
      <c r="M293" s="34" t="s">
        <v>367</v>
      </c>
      <c r="N293" s="34" t="str">
        <f>TEXT(Table1[[#This Row],[Date]],"mmm")</f>
        <v>Dec</v>
      </c>
    </row>
    <row r="294" spans="1:14" x14ac:dyDescent="0.3">
      <c r="A294" s="8" t="s">
        <v>130</v>
      </c>
      <c r="B294" s="9">
        <v>45647</v>
      </c>
      <c r="C294" s="8" t="s">
        <v>51</v>
      </c>
      <c r="D294" s="8" t="s">
        <v>28</v>
      </c>
      <c r="E294" s="8" t="s">
        <v>73</v>
      </c>
      <c r="F294" s="8">
        <v>7</v>
      </c>
      <c r="G294" s="36">
        <v>1795.6799999999998</v>
      </c>
      <c r="H294" s="36">
        <v>2088</v>
      </c>
      <c r="I294" s="10">
        <f>F294*G294</f>
        <v>12569.759999999998</v>
      </c>
      <c r="J294" s="10">
        <v>14616</v>
      </c>
      <c r="K294" s="11">
        <f>J294-I294</f>
        <v>2046.2400000000016</v>
      </c>
      <c r="L294" s="10" t="s">
        <v>343</v>
      </c>
      <c r="M294" s="11" t="s">
        <v>366</v>
      </c>
      <c r="N294" s="11" t="str">
        <f>TEXT(Table1[[#This Row],[Date]],"mmm")</f>
        <v>Dec</v>
      </c>
    </row>
    <row r="295" spans="1:14" x14ac:dyDescent="0.3">
      <c r="A295" s="16" t="s">
        <v>187</v>
      </c>
      <c r="B295" s="17">
        <v>45647</v>
      </c>
      <c r="C295" s="16" t="s">
        <v>10</v>
      </c>
      <c r="D295" s="16" t="s">
        <v>60</v>
      </c>
      <c r="E295" s="19" t="s">
        <v>72</v>
      </c>
      <c r="F295" s="16">
        <v>4</v>
      </c>
      <c r="G295" s="37">
        <v>10499.04</v>
      </c>
      <c r="H295" s="37">
        <v>11412</v>
      </c>
      <c r="I295" s="18">
        <f>F295*G295</f>
        <v>41996.160000000003</v>
      </c>
      <c r="J295" s="18">
        <v>45648</v>
      </c>
      <c r="K295" s="20">
        <f>J295-I295</f>
        <v>3651.8399999999965</v>
      </c>
      <c r="L295" s="18" t="s">
        <v>364</v>
      </c>
      <c r="M295" s="20" t="s">
        <v>371</v>
      </c>
      <c r="N295" s="20" t="str">
        <f>TEXT(Table1[[#This Row],[Date]],"mmm")</f>
        <v>Dec</v>
      </c>
    </row>
    <row r="296" spans="1:14" x14ac:dyDescent="0.3">
      <c r="A296" s="12" t="s">
        <v>323</v>
      </c>
      <c r="B296" s="13">
        <v>45649</v>
      </c>
      <c r="C296" s="12" t="s">
        <v>24</v>
      </c>
      <c r="D296" s="12" t="s">
        <v>13</v>
      </c>
      <c r="E296" s="12" t="s">
        <v>73</v>
      </c>
      <c r="F296" s="12">
        <v>8</v>
      </c>
      <c r="G296" s="35">
        <v>32677.93</v>
      </c>
      <c r="H296" s="35">
        <v>39371</v>
      </c>
      <c r="I296" s="14">
        <f>F296*G296</f>
        <v>261423.44</v>
      </c>
      <c r="J296" s="14">
        <v>314968</v>
      </c>
      <c r="K296" s="15">
        <f>J296-I296</f>
        <v>53544.56</v>
      </c>
      <c r="L296" s="14" t="s">
        <v>355</v>
      </c>
      <c r="M296" s="15" t="s">
        <v>374</v>
      </c>
      <c r="N296" s="15" t="str">
        <f>TEXT(Table1[[#This Row],[Date]],"mmm")</f>
        <v>Dec</v>
      </c>
    </row>
    <row r="297" spans="1:14" x14ac:dyDescent="0.3">
      <c r="A297" s="30" t="s">
        <v>61</v>
      </c>
      <c r="B297" s="31">
        <v>45650</v>
      </c>
      <c r="C297" s="30" t="s">
        <v>8</v>
      </c>
      <c r="D297" s="30" t="s">
        <v>60</v>
      </c>
      <c r="E297" s="32" t="s">
        <v>72</v>
      </c>
      <c r="F297" s="30">
        <v>1</v>
      </c>
      <c r="G297" s="38">
        <v>36101.519999999997</v>
      </c>
      <c r="H297" s="38">
        <v>39672</v>
      </c>
      <c r="I297" s="33">
        <f>'01.Table'!$G42*'01.Table'!$F42</f>
        <v>197922.27000000002</v>
      </c>
      <c r="J297" s="33">
        <v>39672</v>
      </c>
      <c r="K297" s="34">
        <f>'01.Table'!$J42-'01.Table'!$I42</f>
        <v>19574.729999999981</v>
      </c>
      <c r="L297" s="33" t="s">
        <v>348</v>
      </c>
      <c r="M297" s="34" t="s">
        <v>377</v>
      </c>
      <c r="N297" s="34" t="str">
        <f>TEXT(Table1[[#This Row],[Date]],"mmm")</f>
        <v>Dec</v>
      </c>
    </row>
    <row r="298" spans="1:14" x14ac:dyDescent="0.3">
      <c r="A298" s="12" t="s">
        <v>143</v>
      </c>
      <c r="B298" s="13">
        <v>45650</v>
      </c>
      <c r="C298" s="12" t="s">
        <v>31</v>
      </c>
      <c r="D298" s="12" t="s">
        <v>49</v>
      </c>
      <c r="E298" s="12" t="s">
        <v>72</v>
      </c>
      <c r="F298" s="12">
        <v>5</v>
      </c>
      <c r="G298" s="35">
        <v>31348.71</v>
      </c>
      <c r="H298" s="35">
        <v>36033</v>
      </c>
      <c r="I298" s="14">
        <f>F298*G298</f>
        <v>156743.54999999999</v>
      </c>
      <c r="J298" s="14">
        <v>180165</v>
      </c>
      <c r="K298" s="15">
        <f>J298-I298</f>
        <v>23421.450000000012</v>
      </c>
      <c r="L298" s="14" t="s">
        <v>345</v>
      </c>
      <c r="M298" s="15" t="s">
        <v>358</v>
      </c>
      <c r="N298" s="15" t="str">
        <f>TEXT(Table1[[#This Row],[Date]],"mmm")</f>
        <v>Dec</v>
      </c>
    </row>
    <row r="299" spans="1:14" x14ac:dyDescent="0.3">
      <c r="A299" s="16" t="s">
        <v>235</v>
      </c>
      <c r="B299" s="17">
        <v>45650</v>
      </c>
      <c r="C299" s="16" t="s">
        <v>35</v>
      </c>
      <c r="D299" s="16" t="s">
        <v>49</v>
      </c>
      <c r="E299" s="19" t="s">
        <v>73</v>
      </c>
      <c r="F299" s="16">
        <v>6</v>
      </c>
      <c r="G299" s="37">
        <v>3499.86</v>
      </c>
      <c r="H299" s="37">
        <v>3846</v>
      </c>
      <c r="I299" s="18">
        <f>F299*G299</f>
        <v>20999.16</v>
      </c>
      <c r="J299" s="18">
        <v>23076</v>
      </c>
      <c r="K299" s="20">
        <f>J299-I299</f>
        <v>2076.84</v>
      </c>
      <c r="L299" s="18" t="s">
        <v>345</v>
      </c>
      <c r="M299" s="20" t="s">
        <v>346</v>
      </c>
      <c r="N299" s="20" t="str">
        <f>TEXT(Table1[[#This Row],[Date]],"mmm")</f>
        <v>Dec</v>
      </c>
    </row>
    <row r="300" spans="1:14" x14ac:dyDescent="0.3">
      <c r="A300" s="8" t="s">
        <v>202</v>
      </c>
      <c r="B300" s="9">
        <v>45652</v>
      </c>
      <c r="C300" s="8" t="s">
        <v>35</v>
      </c>
      <c r="D300" s="8" t="s">
        <v>37</v>
      </c>
      <c r="E300" s="8" t="s">
        <v>72</v>
      </c>
      <c r="F300" s="8">
        <v>10</v>
      </c>
      <c r="G300" s="36">
        <v>31632.12</v>
      </c>
      <c r="H300" s="36">
        <v>39052</v>
      </c>
      <c r="I300" s="10">
        <f>F300*G300</f>
        <v>316321.2</v>
      </c>
      <c r="J300" s="10">
        <v>390520</v>
      </c>
      <c r="K300" s="11">
        <f>J300-I300</f>
        <v>74198.799999999988</v>
      </c>
      <c r="L300" s="10" t="s">
        <v>351</v>
      </c>
      <c r="M300" s="11" t="s">
        <v>359</v>
      </c>
      <c r="N300" s="11" t="str">
        <f>TEXT(Table1[[#This Row],[Date]],"mmm")</f>
        <v>Dec</v>
      </c>
    </row>
    <row r="301" spans="1:14" x14ac:dyDescent="0.3">
      <c r="A301" s="30" t="s">
        <v>326</v>
      </c>
      <c r="B301" s="31">
        <v>45656</v>
      </c>
      <c r="C301" s="30" t="s">
        <v>35</v>
      </c>
      <c r="D301" s="30" t="s">
        <v>44</v>
      </c>
      <c r="E301" s="32" t="s">
        <v>72</v>
      </c>
      <c r="F301" s="30">
        <v>3</v>
      </c>
      <c r="G301" s="38">
        <v>16330.3</v>
      </c>
      <c r="H301" s="38">
        <v>19915</v>
      </c>
      <c r="I301" s="33">
        <f>F301*G301</f>
        <v>48990.899999999994</v>
      </c>
      <c r="J301" s="33">
        <v>59745</v>
      </c>
      <c r="K301" s="34">
        <f>J301-I301</f>
        <v>10754.100000000006</v>
      </c>
      <c r="L301" s="33" t="s">
        <v>351</v>
      </c>
      <c r="M301" s="34" t="s">
        <v>380</v>
      </c>
      <c r="N301" s="34" t="str">
        <f>TEXT(Table1[[#This Row],[Date]],"mmm")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8C912-B8B9-498C-AA13-173E824A7ABA}">
  <dimension ref="A1:R25"/>
  <sheetViews>
    <sheetView tabSelected="1" zoomScale="94" zoomScaleNormal="149" workbookViewId="0">
      <selection activeCell="J26" sqref="J26"/>
    </sheetView>
  </sheetViews>
  <sheetFormatPr defaultRowHeight="14.4" x14ac:dyDescent="0.3"/>
  <cols>
    <col min="1" max="1" width="23.109375" bestFit="1" customWidth="1"/>
    <col min="2" max="17" width="13" bestFit="1" customWidth="1"/>
    <col min="18" max="18" width="14.109375" bestFit="1" customWidth="1"/>
  </cols>
  <sheetData>
    <row r="1" spans="1:18" ht="14.4" customHeight="1" x14ac:dyDescent="0.3">
      <c r="A1" s="43" t="str">
        <f>IF(ISEVEN('07.DRW'!K4),"Total Sales","Total Profit")</f>
        <v>Total Profit</v>
      </c>
      <c r="B1" s="44"/>
      <c r="C1" s="44"/>
      <c r="D1" s="44"/>
      <c r="E1" s="44"/>
      <c r="F1" s="44"/>
      <c r="G1" s="44"/>
      <c r="H1" s="44"/>
      <c r="I1" s="44"/>
      <c r="J1" s="44"/>
      <c r="K1" s="44"/>
      <c r="L1" s="44"/>
      <c r="M1" s="44"/>
      <c r="N1" s="44"/>
      <c r="O1" s="44"/>
      <c r="P1" s="44"/>
      <c r="Q1" s="44"/>
      <c r="R1" s="45"/>
    </row>
    <row r="2" spans="1:18" ht="14.4" customHeight="1" x14ac:dyDescent="0.3">
      <c r="A2" s="53"/>
      <c r="B2" s="54"/>
      <c r="C2" s="54"/>
      <c r="D2" s="54"/>
      <c r="E2" s="54"/>
      <c r="F2" s="54"/>
      <c r="G2" s="54"/>
      <c r="H2" s="54"/>
      <c r="I2" s="54"/>
      <c r="J2" s="54"/>
      <c r="K2" s="54"/>
      <c r="L2" s="54"/>
      <c r="M2" s="54"/>
      <c r="N2" s="54"/>
      <c r="O2" s="54"/>
      <c r="P2" s="54"/>
      <c r="Q2" s="54"/>
      <c r="R2" s="55"/>
    </row>
    <row r="3" spans="1:18" ht="14.4" customHeight="1" x14ac:dyDescent="0.3">
      <c r="A3" s="53"/>
      <c r="B3" s="54"/>
      <c r="C3" s="54"/>
      <c r="D3" s="54"/>
      <c r="E3" s="54"/>
      <c r="F3" s="54"/>
      <c r="G3" s="54"/>
      <c r="H3" s="54"/>
      <c r="I3" s="54"/>
      <c r="J3" s="54"/>
      <c r="K3" s="54"/>
      <c r="L3" s="54"/>
      <c r="M3" s="54"/>
      <c r="N3" s="54"/>
      <c r="O3" s="54"/>
      <c r="P3" s="54"/>
      <c r="Q3" s="54"/>
      <c r="R3" s="55"/>
    </row>
    <row r="4" spans="1:18" ht="15" customHeight="1" thickBot="1" x14ac:dyDescent="0.35">
      <c r="A4" s="46"/>
      <c r="B4" s="47"/>
      <c r="C4" s="47"/>
      <c r="D4" s="47"/>
      <c r="E4" s="47"/>
      <c r="F4" s="47"/>
      <c r="G4" s="47"/>
      <c r="H4" s="47"/>
      <c r="I4" s="47"/>
      <c r="J4" s="47"/>
      <c r="K4" s="47"/>
      <c r="L4" s="47"/>
      <c r="M4" s="47"/>
      <c r="N4" s="47"/>
      <c r="O4" s="47"/>
      <c r="P4" s="47"/>
      <c r="Q4" s="47"/>
      <c r="R4" s="48"/>
    </row>
    <row r="5" spans="1:18" x14ac:dyDescent="0.3">
      <c r="A5" s="41" t="s">
        <v>88</v>
      </c>
      <c r="B5" s="49" t="s">
        <v>73</v>
      </c>
      <c r="C5" s="50"/>
      <c r="D5" s="50"/>
      <c r="E5" s="50"/>
      <c r="F5" s="50"/>
      <c r="G5" s="50"/>
      <c r="H5" s="50"/>
      <c r="I5" s="51"/>
      <c r="J5" s="49" t="s">
        <v>72</v>
      </c>
      <c r="K5" s="50"/>
      <c r="L5" s="50"/>
      <c r="M5" s="50"/>
      <c r="N5" s="50"/>
      <c r="O5" s="50"/>
      <c r="P5" s="50"/>
      <c r="Q5" s="51"/>
      <c r="R5" s="41" t="s">
        <v>89</v>
      </c>
    </row>
    <row r="6" spans="1:18" x14ac:dyDescent="0.3">
      <c r="A6" s="41"/>
      <c r="B6" s="5" t="s">
        <v>4</v>
      </c>
      <c r="C6" s="6" t="s">
        <v>13</v>
      </c>
      <c r="D6" s="6" t="s">
        <v>20</v>
      </c>
      <c r="E6" s="6" t="s">
        <v>28</v>
      </c>
      <c r="F6" s="6" t="s">
        <v>37</v>
      </c>
      <c r="G6" s="6" t="s">
        <v>44</v>
      </c>
      <c r="H6" s="6" t="s">
        <v>49</v>
      </c>
      <c r="I6" s="7" t="s">
        <v>60</v>
      </c>
      <c r="J6" s="5" t="s">
        <v>4</v>
      </c>
      <c r="K6" s="6" t="s">
        <v>13</v>
      </c>
      <c r="L6" s="6" t="s">
        <v>20</v>
      </c>
      <c r="M6" s="6" t="s">
        <v>28</v>
      </c>
      <c r="N6" s="6" t="s">
        <v>37</v>
      </c>
      <c r="O6" s="6" t="s">
        <v>44</v>
      </c>
      <c r="P6" s="6" t="s">
        <v>49</v>
      </c>
      <c r="Q6" s="7" t="s">
        <v>60</v>
      </c>
      <c r="R6" s="41"/>
    </row>
    <row r="7" spans="1:18" x14ac:dyDescent="0.3">
      <c r="A7" s="58" t="s">
        <v>3</v>
      </c>
      <c r="B7" s="39">
        <f>SUMIFS(IF(ISEVEN('07.DRW'!$K$4),INDEX(Table1[],,10),INDEX(Table1[],,11)), Table1[[Customer name]:[Customer name]], '02.MIS Report Table'!$A7, Table1[[Payment Method]:[Payment Method]], "Online", Table1[[Product]:[Product]], '02.MIS Report Table'!B$6)</f>
        <v>60772.599999999977</v>
      </c>
      <c r="C7" s="39">
        <f>SUMIFS(IF(ISEVEN('07.DRW'!$K$4),INDEX(Table1[],,10),INDEX(Table1[],,11)), Table1[[Customer name]:[Customer name]], '02.MIS Report Table'!$A7, Table1[[Payment Method]:[Payment Method]], "Online", Table1[[Product]:[Product]], '02.MIS Report Table'!C$6)</f>
        <v>16015.320000000007</v>
      </c>
      <c r="D7" s="39">
        <f>SUMIFS(IF(ISEVEN('07.DRW'!$K$4),INDEX(Table1[],,10),INDEX(Table1[],,11)), Table1[[Customer name]:[Customer name]], '02.MIS Report Table'!$A7, Table1[[Payment Method]:[Payment Method]], "Online", Table1[[Product]:[Product]], '02.MIS Report Table'!D$6)</f>
        <v>0</v>
      </c>
      <c r="E7" s="39">
        <f>SUMIFS(IF(ISEVEN('07.DRW'!$K$4),INDEX(Table1[],,10),INDEX(Table1[],,11)), Table1[[Customer name]:[Customer name]], '02.MIS Report Table'!$A7, Table1[[Payment Method]:[Payment Method]], "Online", Table1[[Product]:[Product]], '02.MIS Report Table'!E$6)</f>
        <v>11079.399999999998</v>
      </c>
      <c r="F7" s="39">
        <f>SUMIFS(IF(ISEVEN('07.DRW'!$K$4),INDEX(Table1[],,10),INDEX(Table1[],,11)), Table1[[Customer name]:[Customer name]], '02.MIS Report Table'!$A7, Table1[[Payment Method]:[Payment Method]], "Online", Table1[[Product]:[Product]], '02.MIS Report Table'!F$6)</f>
        <v>48256.970000000016</v>
      </c>
      <c r="G7" s="39">
        <f>SUMIFS(IF(ISEVEN('07.DRW'!$K$4),INDEX(Table1[],,10),INDEX(Table1[],,11)), Table1[[Customer name]:[Customer name]], '02.MIS Report Table'!$A7, Table1[[Payment Method]:[Payment Method]], "Online", Table1[[Product]:[Product]], '02.MIS Report Table'!G$6)</f>
        <v>13164.479999999981</v>
      </c>
      <c r="H7" s="39">
        <f>SUMIFS(IF(ISEVEN('07.DRW'!$K$4),INDEX(Table1[],,10),INDEX(Table1[],,11)), Table1[[Customer name]:[Customer name]], '02.MIS Report Table'!$A7, Table1[[Payment Method]:[Payment Method]], "Online", Table1[[Product]:[Product]], '02.MIS Report Table'!H$6)</f>
        <v>9647.2799999999988</v>
      </c>
      <c r="I7" s="39">
        <f>SUMIFS(IF(ISEVEN('07.DRW'!$K$4),INDEX(Table1[],,10),INDEX(Table1[],,11)), Table1[[Customer name]:[Customer name]], '02.MIS Report Table'!$A7, Table1[[Payment Method]:[Payment Method]], "Online", Table1[[Product]:[Product]], '02.MIS Report Table'!I$6)</f>
        <v>9212</v>
      </c>
      <c r="J7" s="39">
        <f>SUMIFS(IF(ISEVEN('07.DRW'!$K$4),INDEX(Table1[],,10),INDEX(Table1[],,11)), Table1[[Customer name]:[Customer name]], '02.MIS Report Table'!$A7, Table1[[Payment Method]:[Payment Method]], "Cash", Table1[[Product]:[Product]], '02.MIS Report Table'!B$6)</f>
        <v>18021.119999999988</v>
      </c>
      <c r="K7" s="39">
        <f>SUMIFS(IF(ISEVEN('07.DRW'!$K$4),INDEX(Table1[],,10),INDEX(Table1[],,11)), Table1[[Customer name]:[Customer name]], '02.MIS Report Table'!$A7, Table1[[Payment Method]:[Payment Method]], "Cash", Table1[[Product]:[Product]], '02.MIS Report Table'!C$6)</f>
        <v>0</v>
      </c>
      <c r="L7" s="39">
        <f>SUMIFS(IF(ISEVEN('07.DRW'!$K$4),INDEX(Table1[],,10),INDEX(Table1[],,11)), Table1[[Customer name]:[Customer name]], '02.MIS Report Table'!$A7, Table1[[Payment Method]:[Payment Method]], "Cash", Table1[[Product]:[Product]], '02.MIS Report Table'!D$6)</f>
        <v>0</v>
      </c>
      <c r="M7" s="39">
        <f>SUMIFS(IF(ISEVEN('07.DRW'!$K$4),INDEX(Table1[],,10),INDEX(Table1[],,11)), Table1[[Customer name]:[Customer name]], '02.MIS Report Table'!$A7, Table1[[Payment Method]:[Payment Method]], "Cash", Table1[[Product]:[Product]], '02.MIS Report Table'!E$6)</f>
        <v>35759.599999999999</v>
      </c>
      <c r="N7" s="39">
        <f>SUMIFS(IF(ISEVEN('07.DRW'!$K$4),INDEX(Table1[],,10),INDEX(Table1[],,11)), Table1[[Customer name]:[Customer name]], '02.MIS Report Table'!$A7, Table1[[Payment Method]:[Payment Method]], "Cash", Table1[[Product]:[Product]], '02.MIS Report Table'!F$6)</f>
        <v>39405.599999999977</v>
      </c>
      <c r="O7" s="39">
        <f>SUMIFS(IF(ISEVEN('07.DRW'!$K$4),INDEX(Table1[],,10),INDEX(Table1[],,11)), Table1[[Customer name]:[Customer name]], '02.MIS Report Table'!$A7, Table1[[Payment Method]:[Payment Method]], "Cash", Table1[[Product]:[Product]], '02.MIS Report Table'!G$6)</f>
        <v>108580</v>
      </c>
      <c r="P7" s="39">
        <f>SUMIFS(IF(ISEVEN('07.DRW'!$K$4),INDEX(Table1[],,10),INDEX(Table1[],,11)), Table1[[Customer name]:[Customer name]], '02.MIS Report Table'!$A7, Table1[[Payment Method]:[Payment Method]], "Cash", Table1[[Product]:[Product]], '02.MIS Report Table'!H$6)</f>
        <v>38911.35</v>
      </c>
      <c r="Q7" s="39">
        <f>SUMIFS(IF(ISEVEN('07.DRW'!$K$4),INDEX(Table1[],,10),INDEX(Table1[],,11)), Table1[[Customer name]:[Customer name]], '02.MIS Report Table'!$A7, Table1[[Payment Method]:[Payment Method]], "Cash", Table1[[Product]:[Product]], '02.MIS Report Table'!I$6)</f>
        <v>21100.380000000019</v>
      </c>
      <c r="R7" s="59">
        <f t="shared" ref="R7:R17" si="0">SUM(B7:Q7)</f>
        <v>429926.09999999992</v>
      </c>
    </row>
    <row r="8" spans="1:18" x14ac:dyDescent="0.3">
      <c r="A8" s="58" t="s">
        <v>6</v>
      </c>
      <c r="B8" s="39">
        <f>SUMIFS(IF(ISEVEN('07.DRW'!$K$4),INDEX(Table1[],,10),INDEX(Table1[],,11)), Table1[[Customer name]:[Customer name]], '02.MIS Report Table'!$A8, Table1[[Payment Method]:[Payment Method]], "Online", Table1[[Product]:[Product]], '02.MIS Report Table'!B$6)</f>
        <v>6172.32</v>
      </c>
      <c r="C8" s="39">
        <f>SUMIFS(IF(ISEVEN('07.DRW'!$K$4),INDEX(Table1[],,10),INDEX(Table1[],,11)), Table1[[Customer name]:[Customer name]], '02.MIS Report Table'!$A8, Table1[[Payment Method]:[Payment Method]], "Online", Table1[[Product]:[Product]], '02.MIS Report Table'!C$6)</f>
        <v>166184.33999999997</v>
      </c>
      <c r="D8" s="39">
        <f>SUMIFS(IF(ISEVEN('07.DRW'!$K$4),INDEX(Table1[],,10),INDEX(Table1[],,11)), Table1[[Customer name]:[Customer name]], '02.MIS Report Table'!$A8, Table1[[Payment Method]:[Payment Method]], "Online", Table1[[Product]:[Product]], '02.MIS Report Table'!D$6)</f>
        <v>340134.79000000004</v>
      </c>
      <c r="E8" s="39">
        <f>SUMIFS(IF(ISEVEN('07.DRW'!$K$4),INDEX(Table1[],,10),INDEX(Table1[],,11)), Table1[[Customer name]:[Customer name]], '02.MIS Report Table'!$A8, Table1[[Payment Method]:[Payment Method]], "Online", Table1[[Product]:[Product]], '02.MIS Report Table'!E$6)</f>
        <v>32738</v>
      </c>
      <c r="F8" s="39">
        <f>SUMIFS(IF(ISEVEN('07.DRW'!$K$4),INDEX(Table1[],,10),INDEX(Table1[],,11)), Table1[[Customer name]:[Customer name]], '02.MIS Report Table'!$A8, Table1[[Payment Method]:[Payment Method]], "Online", Table1[[Product]:[Product]], '02.MIS Report Table'!F$6)</f>
        <v>-10048.359999999957</v>
      </c>
      <c r="G8" s="39">
        <f>SUMIFS(IF(ISEVEN('07.DRW'!$K$4),INDEX(Table1[],,10),INDEX(Table1[],,11)), Table1[[Customer name]:[Customer name]], '02.MIS Report Table'!$A8, Table1[[Payment Method]:[Payment Method]], "Online", Table1[[Product]:[Product]], '02.MIS Report Table'!G$6)</f>
        <v>0</v>
      </c>
      <c r="H8" s="39">
        <f>SUMIFS(IF(ISEVEN('07.DRW'!$K$4),INDEX(Table1[],,10),INDEX(Table1[],,11)), Table1[[Customer name]:[Customer name]], '02.MIS Report Table'!$A8, Table1[[Payment Method]:[Payment Method]], "Online", Table1[[Product]:[Product]], '02.MIS Report Table'!H$6)</f>
        <v>37795.800000000017</v>
      </c>
      <c r="I8" s="39">
        <f>SUMIFS(IF(ISEVEN('07.DRW'!$K$4),INDEX(Table1[],,10),INDEX(Table1[],,11)), Table1[[Customer name]:[Customer name]], '02.MIS Report Table'!$A8, Table1[[Payment Method]:[Payment Method]], "Online", Table1[[Product]:[Product]], '02.MIS Report Table'!I$6)</f>
        <v>7599.8399999999965</v>
      </c>
      <c r="J8" s="39">
        <f>SUMIFS(IF(ISEVEN('07.DRW'!$K$4),INDEX(Table1[],,10),INDEX(Table1[],,11)), Table1[[Customer name]:[Customer name]], '02.MIS Report Table'!$A8, Table1[[Payment Method]:[Payment Method]], "Cash", Table1[[Product]:[Product]], '02.MIS Report Table'!B$6)</f>
        <v>66475.200000000012</v>
      </c>
      <c r="K8" s="39">
        <f>SUMIFS(IF(ISEVEN('07.DRW'!$K$4),INDEX(Table1[],,10),INDEX(Table1[],,11)), Table1[[Customer name]:[Customer name]], '02.MIS Report Table'!$A8, Table1[[Payment Method]:[Payment Method]], "Cash", Table1[[Product]:[Product]], '02.MIS Report Table'!C$6)</f>
        <v>0</v>
      </c>
      <c r="L8" s="39">
        <f>SUMIFS(IF(ISEVEN('07.DRW'!$K$4),INDEX(Table1[],,10),INDEX(Table1[],,11)), Table1[[Customer name]:[Customer name]], '02.MIS Report Table'!$A8, Table1[[Payment Method]:[Payment Method]], "Cash", Table1[[Product]:[Product]], '02.MIS Report Table'!D$6)</f>
        <v>71057.360000000015</v>
      </c>
      <c r="M8" s="39">
        <f>SUMIFS(IF(ISEVEN('07.DRW'!$K$4),INDEX(Table1[],,10),INDEX(Table1[],,11)), Table1[[Customer name]:[Customer name]], '02.MIS Report Table'!$A8, Table1[[Payment Method]:[Payment Method]], "Cash", Table1[[Product]:[Product]], '02.MIS Report Table'!E$6)</f>
        <v>8229.5400000000081</v>
      </c>
      <c r="N8" s="39">
        <f>SUMIFS(IF(ISEVEN('07.DRW'!$K$4),INDEX(Table1[],,10),INDEX(Table1[],,11)), Table1[[Customer name]:[Customer name]], '02.MIS Report Table'!$A8, Table1[[Payment Method]:[Payment Method]], "Cash", Table1[[Product]:[Product]], '02.MIS Report Table'!F$6)</f>
        <v>2700.3600000000006</v>
      </c>
      <c r="O8" s="39">
        <f>SUMIFS(IF(ISEVEN('07.DRW'!$K$4),INDEX(Table1[],,10),INDEX(Table1[],,11)), Table1[[Customer name]:[Customer name]], '02.MIS Report Table'!$A8, Table1[[Payment Method]:[Payment Method]], "Cash", Table1[[Product]:[Product]], '02.MIS Report Table'!G$6)</f>
        <v>0</v>
      </c>
      <c r="P8" s="39">
        <f>SUMIFS(IF(ISEVEN('07.DRW'!$K$4),INDEX(Table1[],,10),INDEX(Table1[],,11)), Table1[[Customer name]:[Customer name]], '02.MIS Report Table'!$A8, Table1[[Payment Method]:[Payment Method]], "Cash", Table1[[Product]:[Product]], '02.MIS Report Table'!H$6)</f>
        <v>17982.800000000003</v>
      </c>
      <c r="Q8" s="39">
        <f>SUMIFS(IF(ISEVEN('07.DRW'!$K$4),INDEX(Table1[],,10),INDEX(Table1[],,11)), Table1[[Customer name]:[Customer name]], '02.MIS Report Table'!$A8, Table1[[Payment Method]:[Payment Method]], "Cash", Table1[[Product]:[Product]], '02.MIS Report Table'!I$6)</f>
        <v>17868.879999999997</v>
      </c>
      <c r="R8" s="59">
        <f t="shared" si="0"/>
        <v>764890.87</v>
      </c>
    </row>
    <row r="9" spans="1:18" x14ac:dyDescent="0.3">
      <c r="A9" s="58" t="s">
        <v>8</v>
      </c>
      <c r="B9" s="39">
        <f>SUMIFS(IF(ISEVEN('07.DRW'!$K$4),INDEX(Table1[],,10),INDEX(Table1[],,11)), Table1[[Customer name]:[Customer name]], '02.MIS Report Table'!$A9, Table1[[Payment Method]:[Payment Method]], "Online", Table1[[Product]:[Product]], '02.MIS Report Table'!B$6)</f>
        <v>56347.900000000009</v>
      </c>
      <c r="C9" s="39">
        <f>SUMIFS(IF(ISEVEN('07.DRW'!$K$4),INDEX(Table1[],,10),INDEX(Table1[],,11)), Table1[[Customer name]:[Customer name]], '02.MIS Report Table'!$A9, Table1[[Payment Method]:[Payment Method]], "Online", Table1[[Product]:[Product]], '02.MIS Report Table'!C$6)</f>
        <v>96496.34</v>
      </c>
      <c r="D9" s="39">
        <f>SUMIFS(IF(ISEVEN('07.DRW'!$K$4),INDEX(Table1[],,10),INDEX(Table1[],,11)), Table1[[Customer name]:[Customer name]], '02.MIS Report Table'!$A9, Table1[[Payment Method]:[Payment Method]], "Online", Table1[[Product]:[Product]], '02.MIS Report Table'!D$6)</f>
        <v>40117.679999999993</v>
      </c>
      <c r="E9" s="39">
        <f>SUMIFS(IF(ISEVEN('07.DRW'!$K$4),INDEX(Table1[],,10),INDEX(Table1[],,11)), Table1[[Customer name]:[Customer name]], '02.MIS Report Table'!$A9, Table1[[Payment Method]:[Payment Method]], "Online", Table1[[Product]:[Product]], '02.MIS Report Table'!E$6)</f>
        <v>106081.18000000001</v>
      </c>
      <c r="F9" s="39">
        <f>SUMIFS(IF(ISEVEN('07.DRW'!$K$4),INDEX(Table1[],,10),INDEX(Table1[],,11)), Table1[[Customer name]:[Customer name]], '02.MIS Report Table'!$A9, Table1[[Payment Method]:[Payment Method]], "Online", Table1[[Product]:[Product]], '02.MIS Report Table'!F$6)</f>
        <v>0</v>
      </c>
      <c r="G9" s="39">
        <f>SUMIFS(IF(ISEVEN('07.DRW'!$K$4),INDEX(Table1[],,10),INDEX(Table1[],,11)), Table1[[Customer name]:[Customer name]], '02.MIS Report Table'!$A9, Table1[[Payment Method]:[Payment Method]], "Online", Table1[[Product]:[Product]], '02.MIS Report Table'!G$6)</f>
        <v>80402.240000000005</v>
      </c>
      <c r="H9" s="39">
        <f>SUMIFS(IF(ISEVEN('07.DRW'!$K$4),INDEX(Table1[],,10),INDEX(Table1[],,11)), Table1[[Customer name]:[Customer name]], '02.MIS Report Table'!$A9, Table1[[Payment Method]:[Payment Method]], "Online", Table1[[Product]:[Product]], '02.MIS Report Table'!H$6)</f>
        <v>46538.239999999991</v>
      </c>
      <c r="I9" s="39">
        <f>SUMIFS(IF(ISEVEN('07.DRW'!$K$4),INDEX(Table1[],,10),INDEX(Table1[],,11)), Table1[[Customer name]:[Customer name]], '02.MIS Report Table'!$A9, Table1[[Payment Method]:[Payment Method]], "Online", Table1[[Product]:[Product]], '02.MIS Report Table'!I$6)</f>
        <v>14814</v>
      </c>
      <c r="J9" s="39">
        <f>SUMIFS(IF(ISEVEN('07.DRW'!$K$4),INDEX(Table1[],,10),INDEX(Table1[],,11)), Table1[[Customer name]:[Customer name]], '02.MIS Report Table'!$A9, Table1[[Payment Method]:[Payment Method]], "Cash", Table1[[Product]:[Product]], '02.MIS Report Table'!B$6)</f>
        <v>6282.4799999999977</v>
      </c>
      <c r="K9" s="39">
        <f>SUMIFS(IF(ISEVEN('07.DRW'!$K$4),INDEX(Table1[],,10),INDEX(Table1[],,11)), Table1[[Customer name]:[Customer name]], '02.MIS Report Table'!$A9, Table1[[Payment Method]:[Payment Method]], "Cash", Table1[[Product]:[Product]], '02.MIS Report Table'!C$6)</f>
        <v>6732.3000000000029</v>
      </c>
      <c r="L9" s="39">
        <f>SUMIFS(IF(ISEVEN('07.DRW'!$K$4),INDEX(Table1[],,10),INDEX(Table1[],,11)), Table1[[Customer name]:[Customer name]], '02.MIS Report Table'!$A9, Table1[[Payment Method]:[Payment Method]], "Cash", Table1[[Product]:[Product]], '02.MIS Report Table'!D$6)</f>
        <v>3573.9000000000015</v>
      </c>
      <c r="M9" s="39">
        <f>SUMIFS(IF(ISEVEN('07.DRW'!$K$4),INDEX(Table1[],,10),INDEX(Table1[],,11)), Table1[[Customer name]:[Customer name]], '02.MIS Report Table'!$A9, Table1[[Payment Method]:[Payment Method]], "Cash", Table1[[Product]:[Product]], '02.MIS Report Table'!E$6)</f>
        <v>8229.5400000000081</v>
      </c>
      <c r="N9" s="39">
        <f>SUMIFS(IF(ISEVEN('07.DRW'!$K$4),INDEX(Table1[],,10),INDEX(Table1[],,11)), Table1[[Customer name]:[Customer name]], '02.MIS Report Table'!$A9, Table1[[Payment Method]:[Payment Method]], "Cash", Table1[[Product]:[Product]], '02.MIS Report Table'!F$6)</f>
        <v>84576.7</v>
      </c>
      <c r="O9" s="39">
        <f>SUMIFS(IF(ISEVEN('07.DRW'!$K$4),INDEX(Table1[],,10),INDEX(Table1[],,11)), Table1[[Customer name]:[Customer name]], '02.MIS Report Table'!$A9, Table1[[Payment Method]:[Payment Method]], "Cash", Table1[[Product]:[Product]], '02.MIS Report Table'!G$6)</f>
        <v>41560.17</v>
      </c>
      <c r="P9" s="39">
        <f>SUMIFS(IF(ISEVEN('07.DRW'!$K$4),INDEX(Table1[],,10),INDEX(Table1[],,11)), Table1[[Customer name]:[Customer name]], '02.MIS Report Table'!$A9, Table1[[Payment Method]:[Payment Method]], "Cash", Table1[[Product]:[Product]], '02.MIS Report Table'!H$6)</f>
        <v>11834.880000000005</v>
      </c>
      <c r="Q9" s="39">
        <f>SUMIFS(IF(ISEVEN('07.DRW'!$K$4),INDEX(Table1[],,10),INDEX(Table1[],,11)), Table1[[Customer name]:[Customer name]], '02.MIS Report Table'!$A9, Table1[[Payment Method]:[Payment Method]], "Cash", Table1[[Product]:[Product]], '02.MIS Report Table'!I$6)</f>
        <v>19574.729999999981</v>
      </c>
      <c r="R9" s="59">
        <f t="shared" si="0"/>
        <v>623162.27999999991</v>
      </c>
    </row>
    <row r="10" spans="1:18" x14ac:dyDescent="0.3">
      <c r="A10" s="58" t="s">
        <v>10</v>
      </c>
      <c r="B10" s="39">
        <f>SUMIFS(IF(ISEVEN('07.DRW'!$K$4),INDEX(Table1[],,10),INDEX(Table1[],,11)), Table1[[Customer name]:[Customer name]], '02.MIS Report Table'!$A10, Table1[[Payment Method]:[Payment Method]], "Online", Table1[[Product]:[Product]], '02.MIS Report Table'!B$6)</f>
        <v>16305.54</v>
      </c>
      <c r="C10" s="39">
        <f>SUMIFS(IF(ISEVEN('07.DRW'!$K$4),INDEX(Table1[],,10),INDEX(Table1[],,11)), Table1[[Customer name]:[Customer name]], '02.MIS Report Table'!$A10, Table1[[Payment Method]:[Payment Method]], "Online", Table1[[Product]:[Product]], '02.MIS Report Table'!C$6)</f>
        <v>16015.320000000007</v>
      </c>
      <c r="D10" s="39">
        <f>SUMIFS(IF(ISEVEN('07.DRW'!$K$4),INDEX(Table1[],,10),INDEX(Table1[],,11)), Table1[[Customer name]:[Customer name]], '02.MIS Report Table'!$A10, Table1[[Payment Method]:[Payment Method]], "Online", Table1[[Product]:[Product]], '02.MIS Report Table'!D$6)</f>
        <v>45640.399999999994</v>
      </c>
      <c r="E10" s="39">
        <f>SUMIFS(IF(ISEVEN('07.DRW'!$K$4),INDEX(Table1[],,10),INDEX(Table1[],,11)), Table1[[Customer name]:[Customer name]], '02.MIS Report Table'!$A10, Table1[[Payment Method]:[Payment Method]], "Online", Table1[[Product]:[Product]], '02.MIS Report Table'!E$6)</f>
        <v>0</v>
      </c>
      <c r="F10" s="39">
        <f>SUMIFS(IF(ISEVEN('07.DRW'!$K$4),INDEX(Table1[],,10),INDEX(Table1[],,11)), Table1[[Customer name]:[Customer name]], '02.MIS Report Table'!$A10, Table1[[Payment Method]:[Payment Method]], "Online", Table1[[Product]:[Product]], '02.MIS Report Table'!F$6)</f>
        <v>-146076.88</v>
      </c>
      <c r="G10" s="39">
        <f>SUMIFS(IF(ISEVEN('07.DRW'!$K$4),INDEX(Table1[],,10),INDEX(Table1[],,11)), Table1[[Customer name]:[Customer name]], '02.MIS Report Table'!$A10, Table1[[Payment Method]:[Payment Method]], "Online", Table1[[Product]:[Product]], '02.MIS Report Table'!G$6)</f>
        <v>4723.7999999999993</v>
      </c>
      <c r="H10" s="39">
        <f>SUMIFS(IF(ISEVEN('07.DRW'!$K$4),INDEX(Table1[],,10),INDEX(Table1[],,11)), Table1[[Customer name]:[Customer name]], '02.MIS Report Table'!$A10, Table1[[Payment Method]:[Payment Method]], "Online", Table1[[Product]:[Product]], '02.MIS Report Table'!H$6)</f>
        <v>42364.990000000013</v>
      </c>
      <c r="I10" s="39">
        <f>SUMIFS(IF(ISEVEN('07.DRW'!$K$4),INDEX(Table1[],,10),INDEX(Table1[],,11)), Table1[[Customer name]:[Customer name]], '02.MIS Report Table'!$A10, Table1[[Payment Method]:[Payment Method]], "Online", Table1[[Product]:[Product]], '02.MIS Report Table'!I$6)</f>
        <v>11034.399999999994</v>
      </c>
      <c r="J10" s="39">
        <f>SUMIFS(IF(ISEVEN('07.DRW'!$K$4),INDEX(Table1[],,10),INDEX(Table1[],,11)), Table1[[Customer name]:[Customer name]], '02.MIS Report Table'!$A10, Table1[[Payment Method]:[Payment Method]], "Cash", Table1[[Product]:[Product]], '02.MIS Report Table'!B$6)</f>
        <v>56696.940000000031</v>
      </c>
      <c r="K10" s="39">
        <f>SUMIFS(IF(ISEVEN('07.DRW'!$K$4),INDEX(Table1[],,10),INDEX(Table1[],,11)), Table1[[Customer name]:[Customer name]], '02.MIS Report Table'!$A10, Table1[[Payment Method]:[Payment Method]], "Cash", Table1[[Product]:[Product]], '02.MIS Report Table'!C$6)</f>
        <v>44695.800000000017</v>
      </c>
      <c r="L10" s="39">
        <f>SUMIFS(IF(ISEVEN('07.DRW'!$K$4),INDEX(Table1[],,10),INDEX(Table1[],,11)), Table1[[Customer name]:[Customer name]], '02.MIS Report Table'!$A10, Table1[[Payment Method]:[Payment Method]], "Cash", Table1[[Product]:[Product]], '02.MIS Report Table'!D$6)</f>
        <v>10864.020000000004</v>
      </c>
      <c r="M10" s="39">
        <f>SUMIFS(IF(ISEVEN('07.DRW'!$K$4),INDEX(Table1[],,10),INDEX(Table1[],,11)), Table1[[Customer name]:[Customer name]], '02.MIS Report Table'!$A10, Table1[[Payment Method]:[Payment Method]], "Cash", Table1[[Product]:[Product]], '02.MIS Report Table'!E$6)</f>
        <v>0</v>
      </c>
      <c r="N10" s="39">
        <f>SUMIFS(IF(ISEVEN('07.DRW'!$K$4),INDEX(Table1[],,10),INDEX(Table1[],,11)), Table1[[Customer name]:[Customer name]], '02.MIS Report Table'!$A10, Table1[[Payment Method]:[Payment Method]], "Cash", Table1[[Product]:[Product]], '02.MIS Report Table'!F$6)</f>
        <v>0</v>
      </c>
      <c r="O10" s="39">
        <f>SUMIFS(IF(ISEVEN('07.DRW'!$K$4),INDEX(Table1[],,10),INDEX(Table1[],,11)), Table1[[Customer name]:[Customer name]], '02.MIS Report Table'!$A10, Table1[[Payment Method]:[Payment Method]], "Cash", Table1[[Product]:[Product]], '02.MIS Report Table'!G$6)</f>
        <v>54140.399999999987</v>
      </c>
      <c r="P10" s="39">
        <f>SUMIFS(IF(ISEVEN('07.DRW'!$K$4),INDEX(Table1[],,10),INDEX(Table1[],,11)), Table1[[Customer name]:[Customer name]], '02.MIS Report Table'!$A10, Table1[[Payment Method]:[Payment Method]], "Cash", Table1[[Product]:[Product]], '02.MIS Report Table'!H$6)</f>
        <v>20765.969999999994</v>
      </c>
      <c r="Q10" s="39">
        <f>SUMIFS(IF(ISEVEN('07.DRW'!$K$4),INDEX(Table1[],,10),INDEX(Table1[],,11)), Table1[[Customer name]:[Customer name]], '02.MIS Report Table'!$A10, Table1[[Payment Method]:[Payment Method]], "Cash", Table1[[Product]:[Product]], '02.MIS Report Table'!I$6)</f>
        <v>79311.17</v>
      </c>
      <c r="R10" s="59">
        <f t="shared" si="0"/>
        <v>256481.87000000005</v>
      </c>
    </row>
    <row r="11" spans="1:18" x14ac:dyDescent="0.3">
      <c r="A11" s="58" t="s">
        <v>15</v>
      </c>
      <c r="B11" s="39">
        <f>SUMIFS(IF(ISEVEN('07.DRW'!$K$4),INDEX(Table1[],,10),INDEX(Table1[],,11)), Table1[[Customer name]:[Customer name]], '02.MIS Report Table'!$A11, Table1[[Payment Method]:[Payment Method]], "Online", Table1[[Product]:[Product]], '02.MIS Report Table'!B$6)</f>
        <v>1358.3999999999996</v>
      </c>
      <c r="C11" s="39">
        <f>SUMIFS(IF(ISEVEN('07.DRW'!$K$4),INDEX(Table1[],,10),INDEX(Table1[],,11)), Table1[[Customer name]:[Customer name]], '02.MIS Report Table'!$A11, Table1[[Payment Method]:[Payment Method]], "Online", Table1[[Product]:[Product]], '02.MIS Report Table'!C$6)</f>
        <v>51955.56</v>
      </c>
      <c r="D11" s="39">
        <f>SUMIFS(IF(ISEVEN('07.DRW'!$K$4),INDEX(Table1[],,10),INDEX(Table1[],,11)), Table1[[Customer name]:[Customer name]], '02.MIS Report Table'!$A11, Table1[[Payment Method]:[Payment Method]], "Online", Table1[[Product]:[Product]], '02.MIS Report Table'!D$6)</f>
        <v>12784.199999999997</v>
      </c>
      <c r="E11" s="39">
        <f>SUMIFS(IF(ISEVEN('07.DRW'!$K$4),INDEX(Table1[],,10),INDEX(Table1[],,11)), Table1[[Customer name]:[Customer name]], '02.MIS Report Table'!$A11, Table1[[Payment Method]:[Payment Method]], "Online", Table1[[Product]:[Product]], '02.MIS Report Table'!E$6)</f>
        <v>23104.380000000005</v>
      </c>
      <c r="F11" s="39">
        <f>SUMIFS(IF(ISEVEN('07.DRW'!$K$4),INDEX(Table1[],,10),INDEX(Table1[],,11)), Table1[[Customer name]:[Customer name]], '02.MIS Report Table'!$A11, Table1[[Payment Method]:[Payment Method]], "Online", Table1[[Product]:[Product]], '02.MIS Report Table'!F$6)</f>
        <v>0</v>
      </c>
      <c r="G11" s="39">
        <f>SUMIFS(IF(ISEVEN('07.DRW'!$K$4),INDEX(Table1[],,10),INDEX(Table1[],,11)), Table1[[Customer name]:[Customer name]], '02.MIS Report Table'!$A11, Table1[[Payment Method]:[Payment Method]], "Online", Table1[[Product]:[Product]], '02.MIS Report Table'!G$6)</f>
        <v>10406.140000000001</v>
      </c>
      <c r="H11" s="39">
        <f>SUMIFS(IF(ISEVEN('07.DRW'!$K$4),INDEX(Table1[],,10),INDEX(Table1[],,11)), Table1[[Customer name]:[Customer name]], '02.MIS Report Table'!$A11, Table1[[Payment Method]:[Payment Method]], "Online", Table1[[Product]:[Product]], '02.MIS Report Table'!H$6)</f>
        <v>0</v>
      </c>
      <c r="I11" s="39">
        <f>SUMIFS(IF(ISEVEN('07.DRW'!$K$4),INDEX(Table1[],,10),INDEX(Table1[],,11)), Table1[[Customer name]:[Customer name]], '02.MIS Report Table'!$A11, Table1[[Payment Method]:[Payment Method]], "Online", Table1[[Product]:[Product]], '02.MIS Report Table'!I$6)</f>
        <v>24613.800000000017</v>
      </c>
      <c r="J11" s="39">
        <f>SUMIFS(IF(ISEVEN('07.DRW'!$K$4),INDEX(Table1[],,10),INDEX(Table1[],,11)), Table1[[Customer name]:[Customer name]], '02.MIS Report Table'!$A11, Table1[[Payment Method]:[Payment Method]], "Cash", Table1[[Product]:[Product]], '02.MIS Report Table'!B$6)</f>
        <v>56657.77</v>
      </c>
      <c r="K11" s="39">
        <f>SUMIFS(IF(ISEVEN('07.DRW'!$K$4),INDEX(Table1[],,10),INDEX(Table1[],,11)), Table1[[Customer name]:[Customer name]], '02.MIS Report Table'!$A11, Table1[[Payment Method]:[Payment Method]], "Cash", Table1[[Product]:[Product]], '02.MIS Report Table'!C$6)</f>
        <v>59876.46</v>
      </c>
      <c r="L11" s="39">
        <f>SUMIFS(IF(ISEVEN('07.DRW'!$K$4),INDEX(Table1[],,10),INDEX(Table1[],,11)), Table1[[Customer name]:[Customer name]], '02.MIS Report Table'!$A11, Table1[[Payment Method]:[Payment Method]], "Cash", Table1[[Product]:[Product]], '02.MIS Report Table'!D$6)</f>
        <v>35378.199999999997</v>
      </c>
      <c r="M11" s="39">
        <f>SUMIFS(IF(ISEVEN('07.DRW'!$K$4),INDEX(Table1[],,10),INDEX(Table1[],,11)), Table1[[Customer name]:[Customer name]], '02.MIS Report Table'!$A11, Table1[[Payment Method]:[Payment Method]], "Cash", Table1[[Product]:[Product]], '02.MIS Report Table'!E$6)</f>
        <v>63620.459999999992</v>
      </c>
      <c r="N11" s="39">
        <f>SUMIFS(IF(ISEVEN('07.DRW'!$K$4),INDEX(Table1[],,10),INDEX(Table1[],,11)), Table1[[Customer name]:[Customer name]], '02.MIS Report Table'!$A11, Table1[[Payment Method]:[Payment Method]], "Cash", Table1[[Product]:[Product]], '02.MIS Report Table'!F$6)</f>
        <v>64312.369999999981</v>
      </c>
      <c r="O11" s="39">
        <f>SUMIFS(IF(ISEVEN('07.DRW'!$K$4),INDEX(Table1[],,10),INDEX(Table1[],,11)), Table1[[Customer name]:[Customer name]], '02.MIS Report Table'!$A11, Table1[[Payment Method]:[Payment Method]], "Cash", Table1[[Product]:[Product]], '02.MIS Report Table'!G$6)</f>
        <v>0</v>
      </c>
      <c r="P11" s="39">
        <f>SUMIFS(IF(ISEVEN('07.DRW'!$K$4),INDEX(Table1[],,10),INDEX(Table1[],,11)), Table1[[Customer name]:[Customer name]], '02.MIS Report Table'!$A11, Table1[[Payment Method]:[Payment Method]], "Cash", Table1[[Product]:[Product]], '02.MIS Report Table'!H$6)</f>
        <v>83827.399999999994</v>
      </c>
      <c r="Q11" s="39">
        <f>SUMIFS(IF(ISEVEN('07.DRW'!$K$4),INDEX(Table1[],,10),INDEX(Table1[],,11)), Table1[[Customer name]:[Customer name]], '02.MIS Report Table'!$A11, Table1[[Payment Method]:[Payment Method]], "Cash", Table1[[Product]:[Product]], '02.MIS Report Table'!I$6)</f>
        <v>40377.600000000006</v>
      </c>
      <c r="R11" s="59">
        <f t="shared" si="0"/>
        <v>528272.74</v>
      </c>
    </row>
    <row r="12" spans="1:18" x14ac:dyDescent="0.3">
      <c r="A12" s="58" t="s">
        <v>22</v>
      </c>
      <c r="B12" s="39">
        <f>SUMIFS(IF(ISEVEN('07.DRW'!$K$4),INDEX(Table1[],,10),INDEX(Table1[],,11)), Table1[[Customer name]:[Customer name]], '02.MIS Report Table'!$A12, Table1[[Payment Method]:[Payment Method]], "Online", Table1[[Product]:[Product]], '02.MIS Report Table'!B$6)</f>
        <v>0</v>
      </c>
      <c r="C12" s="39">
        <f>SUMIFS(IF(ISEVEN('07.DRW'!$K$4),INDEX(Table1[],,10),INDEX(Table1[],,11)), Table1[[Customer name]:[Customer name]], '02.MIS Report Table'!$A12, Table1[[Payment Method]:[Payment Method]], "Online", Table1[[Product]:[Product]], '02.MIS Report Table'!C$6)</f>
        <v>0</v>
      </c>
      <c r="D12" s="39">
        <f>SUMIFS(IF(ISEVEN('07.DRW'!$K$4),INDEX(Table1[],,10),INDEX(Table1[],,11)), Table1[[Customer name]:[Customer name]], '02.MIS Report Table'!$A12, Table1[[Payment Method]:[Payment Method]], "Online", Table1[[Product]:[Product]], '02.MIS Report Table'!D$6)</f>
        <v>-125827.63999999998</v>
      </c>
      <c r="E12" s="39">
        <f>SUMIFS(IF(ISEVEN('07.DRW'!$K$4),INDEX(Table1[],,10),INDEX(Table1[],,11)), Table1[[Customer name]:[Customer name]], '02.MIS Report Table'!$A12, Table1[[Payment Method]:[Payment Method]], "Online", Table1[[Product]:[Product]], '02.MIS Report Table'!E$6)</f>
        <v>14070.559999999998</v>
      </c>
      <c r="F12" s="39">
        <f>SUMIFS(IF(ISEVEN('07.DRW'!$K$4),INDEX(Table1[],,10),INDEX(Table1[],,11)), Table1[[Customer name]:[Customer name]], '02.MIS Report Table'!$A12, Table1[[Payment Method]:[Payment Method]], "Online", Table1[[Product]:[Product]], '02.MIS Report Table'!F$6)</f>
        <v>35842.560000000012</v>
      </c>
      <c r="G12" s="39">
        <f>SUMIFS(IF(ISEVEN('07.DRW'!$K$4),INDEX(Table1[],,10),INDEX(Table1[],,11)), Table1[[Customer name]:[Customer name]], '02.MIS Report Table'!$A12, Table1[[Payment Method]:[Payment Method]], "Online", Table1[[Product]:[Product]], '02.MIS Report Table'!G$6)</f>
        <v>42988.520000000011</v>
      </c>
      <c r="H12" s="39">
        <f>SUMIFS(IF(ISEVEN('07.DRW'!$K$4),INDEX(Table1[],,10),INDEX(Table1[],,11)), Table1[[Customer name]:[Customer name]], '02.MIS Report Table'!$A12, Table1[[Payment Method]:[Payment Method]], "Online", Table1[[Product]:[Product]], '02.MIS Report Table'!H$6)</f>
        <v>0</v>
      </c>
      <c r="I12" s="39">
        <f>SUMIFS(IF(ISEVEN('07.DRW'!$K$4),INDEX(Table1[],,10),INDEX(Table1[],,11)), Table1[[Customer name]:[Customer name]], '02.MIS Report Table'!$A12, Table1[[Payment Method]:[Payment Method]], "Online", Table1[[Product]:[Product]], '02.MIS Report Table'!I$6)</f>
        <v>0</v>
      </c>
      <c r="J12" s="39">
        <f>SUMIFS(IF(ISEVEN('07.DRW'!$K$4),INDEX(Table1[],,10),INDEX(Table1[],,11)), Table1[[Customer name]:[Customer name]], '02.MIS Report Table'!$A12, Table1[[Payment Method]:[Payment Method]], "Cash", Table1[[Product]:[Product]], '02.MIS Report Table'!B$6)</f>
        <v>65452.799999999988</v>
      </c>
      <c r="K12" s="39">
        <f>SUMIFS(IF(ISEVEN('07.DRW'!$K$4),INDEX(Table1[],,10),INDEX(Table1[],,11)), Table1[[Customer name]:[Customer name]], '02.MIS Report Table'!$A12, Table1[[Payment Method]:[Payment Method]], "Cash", Table1[[Product]:[Product]], '02.MIS Report Table'!C$6)</f>
        <v>19951.679999999993</v>
      </c>
      <c r="L12" s="39">
        <f>SUMIFS(IF(ISEVEN('07.DRW'!$K$4),INDEX(Table1[],,10),INDEX(Table1[],,11)), Table1[[Customer name]:[Customer name]], '02.MIS Report Table'!$A12, Table1[[Payment Method]:[Payment Method]], "Cash", Table1[[Product]:[Product]], '02.MIS Report Table'!D$6)</f>
        <v>0</v>
      </c>
      <c r="M12" s="39">
        <f>SUMIFS(IF(ISEVEN('07.DRW'!$K$4),INDEX(Table1[],,10),INDEX(Table1[],,11)), Table1[[Customer name]:[Customer name]], '02.MIS Report Table'!$A12, Table1[[Payment Method]:[Payment Method]], "Cash", Table1[[Product]:[Product]], '02.MIS Report Table'!E$6)</f>
        <v>17991</v>
      </c>
      <c r="N12" s="39">
        <f>SUMIFS(IF(ISEVEN('07.DRW'!$K$4),INDEX(Table1[],,10),INDEX(Table1[],,11)), Table1[[Customer name]:[Customer name]], '02.MIS Report Table'!$A12, Table1[[Payment Method]:[Payment Method]], "Cash", Table1[[Product]:[Product]], '02.MIS Report Table'!F$6)</f>
        <v>4420.0800000000017</v>
      </c>
      <c r="O12" s="39">
        <f>SUMIFS(IF(ISEVEN('07.DRW'!$K$4),INDEX(Table1[],,10),INDEX(Table1[],,11)), Table1[[Customer name]:[Customer name]], '02.MIS Report Table'!$A12, Table1[[Payment Method]:[Payment Method]], "Cash", Table1[[Product]:[Product]], '02.MIS Report Table'!G$6)</f>
        <v>0</v>
      </c>
      <c r="P12" s="39">
        <f>SUMIFS(IF(ISEVEN('07.DRW'!$K$4),INDEX(Table1[],,10),INDEX(Table1[],,11)), Table1[[Customer name]:[Customer name]], '02.MIS Report Table'!$A12, Table1[[Payment Method]:[Payment Method]], "Cash", Table1[[Product]:[Product]], '02.MIS Report Table'!H$6)</f>
        <v>0</v>
      </c>
      <c r="Q12" s="39">
        <f>SUMIFS(IF(ISEVEN('07.DRW'!$K$4),INDEX(Table1[],,10),INDEX(Table1[],,11)), Table1[[Customer name]:[Customer name]], '02.MIS Report Table'!$A12, Table1[[Payment Method]:[Payment Method]], "Cash", Table1[[Product]:[Product]], '02.MIS Report Table'!I$6)</f>
        <v>43898.560000000012</v>
      </c>
      <c r="R12" s="59">
        <f t="shared" si="0"/>
        <v>118788.12000000002</v>
      </c>
    </row>
    <row r="13" spans="1:18" x14ac:dyDescent="0.3">
      <c r="A13" s="58" t="s">
        <v>24</v>
      </c>
      <c r="B13" s="39">
        <f>SUMIFS(IF(ISEVEN('07.DRW'!$K$4),INDEX(Table1[],,10),INDEX(Table1[],,11)), Table1[[Customer name]:[Customer name]], '02.MIS Report Table'!$A13, Table1[[Payment Method]:[Payment Method]], "Online", Table1[[Product]:[Product]], '02.MIS Report Table'!B$6)</f>
        <v>12882.660000000014</v>
      </c>
      <c r="C13" s="39">
        <f>SUMIFS(IF(ISEVEN('07.DRW'!$K$4),INDEX(Table1[],,10),INDEX(Table1[],,11)), Table1[[Customer name]:[Customer name]], '02.MIS Report Table'!$A13, Table1[[Payment Method]:[Payment Method]], "Online", Table1[[Product]:[Product]], '02.MIS Report Table'!C$6)</f>
        <v>158461.84000000003</v>
      </c>
      <c r="D13" s="39">
        <f>SUMIFS(IF(ISEVEN('07.DRW'!$K$4),INDEX(Table1[],,10),INDEX(Table1[],,11)), Table1[[Customer name]:[Customer name]], '02.MIS Report Table'!$A13, Table1[[Payment Method]:[Payment Method]], "Online", Table1[[Product]:[Product]], '02.MIS Report Table'!D$6)</f>
        <v>28338.299999999988</v>
      </c>
      <c r="E13" s="39">
        <f>SUMIFS(IF(ISEVEN('07.DRW'!$K$4),INDEX(Table1[],,10),INDEX(Table1[],,11)), Table1[[Customer name]:[Customer name]], '02.MIS Report Table'!$A13, Table1[[Payment Method]:[Payment Method]], "Online", Table1[[Product]:[Product]], '02.MIS Report Table'!E$6)</f>
        <v>53662.600000000035</v>
      </c>
      <c r="F13" s="39">
        <f>SUMIFS(IF(ISEVEN('07.DRW'!$K$4),INDEX(Table1[],,10),INDEX(Table1[],,11)), Table1[[Customer name]:[Customer name]], '02.MIS Report Table'!$A13, Table1[[Payment Method]:[Payment Method]], "Online", Table1[[Product]:[Product]], '02.MIS Report Table'!F$6)</f>
        <v>24453.440000000002</v>
      </c>
      <c r="G13" s="39">
        <f>SUMIFS(IF(ISEVEN('07.DRW'!$K$4),INDEX(Table1[],,10),INDEX(Table1[],,11)), Table1[[Customer name]:[Customer name]], '02.MIS Report Table'!$A13, Table1[[Payment Method]:[Payment Method]], "Online", Table1[[Product]:[Product]], '02.MIS Report Table'!G$6)</f>
        <v>16921.919999999998</v>
      </c>
      <c r="H13" s="39">
        <f>SUMIFS(IF(ISEVEN('07.DRW'!$K$4),INDEX(Table1[],,10),INDEX(Table1[],,11)), Table1[[Customer name]:[Customer name]], '02.MIS Report Table'!$A13, Table1[[Payment Method]:[Payment Method]], "Online", Table1[[Product]:[Product]], '02.MIS Report Table'!H$6)</f>
        <v>22594.070000000007</v>
      </c>
      <c r="I13" s="39">
        <f>SUMIFS(IF(ISEVEN('07.DRW'!$K$4),INDEX(Table1[],,10),INDEX(Table1[],,11)), Table1[[Customer name]:[Customer name]], '02.MIS Report Table'!$A13, Table1[[Payment Method]:[Payment Method]], "Online", Table1[[Product]:[Product]], '02.MIS Report Table'!I$6)</f>
        <v>17298.600000000006</v>
      </c>
      <c r="J13" s="39">
        <f>SUMIFS(IF(ISEVEN('07.DRW'!$K$4),INDEX(Table1[],,10),INDEX(Table1[],,11)), Table1[[Customer name]:[Customer name]], '02.MIS Report Table'!$A13, Table1[[Payment Method]:[Payment Method]], "Cash", Table1[[Product]:[Product]], '02.MIS Report Table'!B$6)</f>
        <v>61923.340000000026</v>
      </c>
      <c r="K13" s="39">
        <f>SUMIFS(IF(ISEVEN('07.DRW'!$K$4),INDEX(Table1[],,10),INDEX(Table1[],,11)), Table1[[Customer name]:[Customer name]], '02.MIS Report Table'!$A13, Table1[[Payment Method]:[Payment Method]], "Cash", Table1[[Product]:[Product]], '02.MIS Report Table'!C$6)</f>
        <v>45139.359999999979</v>
      </c>
      <c r="L13" s="39">
        <f>SUMIFS(IF(ISEVEN('07.DRW'!$K$4),INDEX(Table1[],,10),INDEX(Table1[],,11)), Table1[[Customer name]:[Customer name]], '02.MIS Report Table'!$A13, Table1[[Payment Method]:[Payment Method]], "Cash", Table1[[Product]:[Product]], '02.MIS Report Table'!D$6)</f>
        <v>43792.560000000027</v>
      </c>
      <c r="M13" s="39">
        <f>SUMIFS(IF(ISEVEN('07.DRW'!$K$4),INDEX(Table1[],,10),INDEX(Table1[],,11)), Table1[[Customer name]:[Customer name]], '02.MIS Report Table'!$A13, Table1[[Payment Method]:[Payment Method]], "Cash", Table1[[Product]:[Product]], '02.MIS Report Table'!E$6)</f>
        <v>68628.779999999984</v>
      </c>
      <c r="N13" s="39">
        <f>SUMIFS(IF(ISEVEN('07.DRW'!$K$4),INDEX(Table1[],,10),INDEX(Table1[],,11)), Table1[[Customer name]:[Customer name]], '02.MIS Report Table'!$A13, Table1[[Payment Method]:[Payment Method]], "Cash", Table1[[Product]:[Product]], '02.MIS Report Table'!F$6)</f>
        <v>41369.660000000003</v>
      </c>
      <c r="O13" s="39">
        <f>SUMIFS(IF(ISEVEN('07.DRW'!$K$4),INDEX(Table1[],,10),INDEX(Table1[],,11)), Table1[[Customer name]:[Customer name]], '02.MIS Report Table'!$A13, Table1[[Payment Method]:[Payment Method]], "Cash", Table1[[Product]:[Product]], '02.MIS Report Table'!G$6)</f>
        <v>59989.849999999969</v>
      </c>
      <c r="P13" s="39">
        <f>SUMIFS(IF(ISEVEN('07.DRW'!$K$4),INDEX(Table1[],,10),INDEX(Table1[],,11)), Table1[[Customer name]:[Customer name]], '02.MIS Report Table'!$A13, Table1[[Payment Method]:[Payment Method]], "Cash", Table1[[Product]:[Product]], '02.MIS Report Table'!H$6)</f>
        <v>15200</v>
      </c>
      <c r="Q13" s="39">
        <f>SUMIFS(IF(ISEVEN('07.DRW'!$K$4),INDEX(Table1[],,10),INDEX(Table1[],,11)), Table1[[Customer name]:[Customer name]], '02.MIS Report Table'!$A13, Table1[[Payment Method]:[Payment Method]], "Cash", Table1[[Product]:[Product]], '02.MIS Report Table'!I$6)</f>
        <v>20838.36</v>
      </c>
      <c r="R13" s="59">
        <f t="shared" si="0"/>
        <v>691495.34000000008</v>
      </c>
    </row>
    <row r="14" spans="1:18" x14ac:dyDescent="0.3">
      <c r="A14" s="58" t="s">
        <v>26</v>
      </c>
      <c r="B14" s="39">
        <f>SUMIFS(IF(ISEVEN('07.DRW'!$K$4),INDEX(Table1[],,10),INDEX(Table1[],,11)), Table1[[Customer name]:[Customer name]], '02.MIS Report Table'!$A14, Table1[[Payment Method]:[Payment Method]], "Online", Table1[[Product]:[Product]], '02.MIS Report Table'!B$6)</f>
        <v>41775.600000000006</v>
      </c>
      <c r="C14" s="39">
        <f>SUMIFS(IF(ISEVEN('07.DRW'!$K$4),INDEX(Table1[],,10),INDEX(Table1[],,11)), Table1[[Customer name]:[Customer name]], '02.MIS Report Table'!$A14, Table1[[Payment Method]:[Payment Method]], "Online", Table1[[Product]:[Product]], '02.MIS Report Table'!C$6)</f>
        <v>40856.400000000023</v>
      </c>
      <c r="D14" s="39">
        <f>SUMIFS(IF(ISEVEN('07.DRW'!$K$4),INDEX(Table1[],,10),INDEX(Table1[],,11)), Table1[[Customer name]:[Customer name]], '02.MIS Report Table'!$A14, Table1[[Payment Method]:[Payment Method]], "Online", Table1[[Product]:[Product]], '02.MIS Report Table'!D$6)</f>
        <v>37059.119999999995</v>
      </c>
      <c r="E14" s="39">
        <f>SUMIFS(IF(ISEVEN('07.DRW'!$K$4),INDEX(Table1[],,10),INDEX(Table1[],,11)), Table1[[Customer name]:[Customer name]], '02.MIS Report Table'!$A14, Table1[[Payment Method]:[Payment Method]], "Online", Table1[[Product]:[Product]], '02.MIS Report Table'!E$6)</f>
        <v>0</v>
      </c>
      <c r="F14" s="39">
        <f>SUMIFS(IF(ISEVEN('07.DRW'!$K$4),INDEX(Table1[],,10),INDEX(Table1[],,11)), Table1[[Customer name]:[Customer name]], '02.MIS Report Table'!$A14, Table1[[Payment Method]:[Payment Method]], "Online", Table1[[Product]:[Product]], '02.MIS Report Table'!F$6)</f>
        <v>34743.599999999999</v>
      </c>
      <c r="G14" s="39">
        <f>SUMIFS(IF(ISEVEN('07.DRW'!$K$4),INDEX(Table1[],,10),INDEX(Table1[],,11)), Table1[[Customer name]:[Customer name]], '02.MIS Report Table'!$A14, Table1[[Payment Method]:[Payment Method]], "Online", Table1[[Product]:[Product]], '02.MIS Report Table'!G$6)</f>
        <v>63330.220000000023</v>
      </c>
      <c r="H14" s="39">
        <f>SUMIFS(IF(ISEVEN('07.DRW'!$K$4),INDEX(Table1[],,10),INDEX(Table1[],,11)), Table1[[Customer name]:[Customer name]], '02.MIS Report Table'!$A14, Table1[[Payment Method]:[Payment Method]], "Online", Table1[[Product]:[Product]], '02.MIS Report Table'!H$6)</f>
        <v>75013.100000000035</v>
      </c>
      <c r="I14" s="39">
        <f>SUMIFS(IF(ISEVEN('07.DRW'!$K$4),INDEX(Table1[],,10),INDEX(Table1[],,11)), Table1[[Customer name]:[Customer name]], '02.MIS Report Table'!$A14, Table1[[Payment Method]:[Payment Method]], "Online", Table1[[Product]:[Product]], '02.MIS Report Table'!I$6)</f>
        <v>141693.16000000003</v>
      </c>
      <c r="J14" s="39">
        <f>SUMIFS(IF(ISEVEN('07.DRW'!$K$4),INDEX(Table1[],,10),INDEX(Table1[],,11)), Table1[[Customer name]:[Customer name]], '02.MIS Report Table'!$A14, Table1[[Payment Method]:[Payment Method]], "Cash", Table1[[Product]:[Product]], '02.MIS Report Table'!B$6)</f>
        <v>0</v>
      </c>
      <c r="K14" s="39">
        <f>SUMIFS(IF(ISEVEN('07.DRW'!$K$4),INDEX(Table1[],,10),INDEX(Table1[],,11)), Table1[[Customer name]:[Customer name]], '02.MIS Report Table'!$A14, Table1[[Payment Method]:[Payment Method]], "Cash", Table1[[Product]:[Product]], '02.MIS Report Table'!C$6)</f>
        <v>87674.850000000035</v>
      </c>
      <c r="L14" s="39">
        <f>SUMIFS(IF(ISEVEN('07.DRW'!$K$4),INDEX(Table1[],,10),INDEX(Table1[],,11)), Table1[[Customer name]:[Customer name]], '02.MIS Report Table'!$A14, Table1[[Payment Method]:[Payment Method]], "Cash", Table1[[Product]:[Product]], '02.MIS Report Table'!D$6)</f>
        <v>7242</v>
      </c>
      <c r="M14" s="39">
        <f>SUMIFS(IF(ISEVEN('07.DRW'!$K$4),INDEX(Table1[],,10),INDEX(Table1[],,11)), Table1[[Customer name]:[Customer name]], '02.MIS Report Table'!$A14, Table1[[Payment Method]:[Payment Method]], "Cash", Table1[[Product]:[Product]], '02.MIS Report Table'!E$6)</f>
        <v>29282.5</v>
      </c>
      <c r="N14" s="39">
        <f>SUMIFS(IF(ISEVEN('07.DRW'!$K$4),INDEX(Table1[],,10),INDEX(Table1[],,11)), Table1[[Customer name]:[Customer name]], '02.MIS Report Table'!$A14, Table1[[Payment Method]:[Payment Method]], "Cash", Table1[[Product]:[Product]], '02.MIS Report Table'!F$6)</f>
        <v>75707.280000000028</v>
      </c>
      <c r="O14" s="39">
        <f>SUMIFS(IF(ISEVEN('07.DRW'!$K$4),INDEX(Table1[],,10),INDEX(Table1[],,11)), Table1[[Customer name]:[Customer name]], '02.MIS Report Table'!$A14, Table1[[Payment Method]:[Payment Method]], "Cash", Table1[[Product]:[Product]], '02.MIS Report Table'!G$6)</f>
        <v>36925.319999999992</v>
      </c>
      <c r="P14" s="39">
        <f>SUMIFS(IF(ISEVEN('07.DRW'!$K$4),INDEX(Table1[],,10),INDEX(Table1[],,11)), Table1[[Customer name]:[Customer name]], '02.MIS Report Table'!$A14, Table1[[Payment Method]:[Payment Method]], "Cash", Table1[[Product]:[Product]], '02.MIS Report Table'!H$6)</f>
        <v>55295.459999999992</v>
      </c>
      <c r="Q14" s="39">
        <f>SUMIFS(IF(ISEVEN('07.DRW'!$K$4),INDEX(Table1[],,10),INDEX(Table1[],,11)), Table1[[Customer name]:[Customer name]], '02.MIS Report Table'!$A14, Table1[[Payment Method]:[Payment Method]], "Cash", Table1[[Product]:[Product]], '02.MIS Report Table'!I$6)</f>
        <v>11021.760000000002</v>
      </c>
      <c r="R14" s="59">
        <f t="shared" si="0"/>
        <v>737620.37000000011</v>
      </c>
    </row>
    <row r="15" spans="1:18" x14ac:dyDescent="0.3">
      <c r="A15" s="58" t="s">
        <v>31</v>
      </c>
      <c r="B15" s="39">
        <f>SUMIFS(IF(ISEVEN('07.DRW'!$K$4),INDEX(Table1[],,10),INDEX(Table1[],,11)), Table1[[Customer name]:[Customer name]], '02.MIS Report Table'!$A15, Table1[[Payment Method]:[Payment Method]], "Online", Table1[[Product]:[Product]], '02.MIS Report Table'!B$6)</f>
        <v>24816</v>
      </c>
      <c r="C15" s="39">
        <f>SUMIFS(IF(ISEVEN('07.DRW'!$K$4),INDEX(Table1[],,10),INDEX(Table1[],,11)), Table1[[Customer name]:[Customer name]], '02.MIS Report Table'!$A15, Table1[[Payment Method]:[Payment Method]], "Online", Table1[[Product]:[Product]], '02.MIS Report Table'!C$6)</f>
        <v>8816.2200000000012</v>
      </c>
      <c r="D15" s="39">
        <f>SUMIFS(IF(ISEVEN('07.DRW'!$K$4),INDEX(Table1[],,10),INDEX(Table1[],,11)), Table1[[Customer name]:[Customer name]], '02.MIS Report Table'!$A15, Table1[[Payment Method]:[Payment Method]], "Online", Table1[[Product]:[Product]], '02.MIS Report Table'!D$6)</f>
        <v>50726.559999999998</v>
      </c>
      <c r="E15" s="39">
        <f>SUMIFS(IF(ISEVEN('07.DRW'!$K$4),INDEX(Table1[],,10),INDEX(Table1[],,11)), Table1[[Customer name]:[Customer name]], '02.MIS Report Table'!$A15, Table1[[Payment Method]:[Payment Method]], "Online", Table1[[Product]:[Product]], '02.MIS Report Table'!E$6)</f>
        <v>42223.430000000008</v>
      </c>
      <c r="F15" s="39">
        <f>SUMIFS(IF(ISEVEN('07.DRW'!$K$4),INDEX(Table1[],,10),INDEX(Table1[],,11)), Table1[[Customer name]:[Customer name]], '02.MIS Report Table'!$A15, Table1[[Payment Method]:[Payment Method]], "Online", Table1[[Product]:[Product]], '02.MIS Report Table'!F$6)</f>
        <v>25167.330000000024</v>
      </c>
      <c r="G15" s="39">
        <f>SUMIFS(IF(ISEVEN('07.DRW'!$K$4),INDEX(Table1[],,10),INDEX(Table1[],,11)), Table1[[Customer name]:[Customer name]], '02.MIS Report Table'!$A15, Table1[[Payment Method]:[Payment Method]], "Online", Table1[[Product]:[Product]], '02.MIS Report Table'!G$6)</f>
        <v>29157.72</v>
      </c>
      <c r="H15" s="39">
        <f>SUMIFS(IF(ISEVEN('07.DRW'!$K$4),INDEX(Table1[],,10),INDEX(Table1[],,11)), Table1[[Customer name]:[Customer name]], '02.MIS Report Table'!$A15, Table1[[Payment Method]:[Payment Method]], "Online", Table1[[Product]:[Product]], '02.MIS Report Table'!H$6)</f>
        <v>13886.519999999997</v>
      </c>
      <c r="I15" s="39">
        <f>SUMIFS(IF(ISEVEN('07.DRW'!$K$4),INDEX(Table1[],,10),INDEX(Table1[],,11)), Table1[[Customer name]:[Customer name]], '02.MIS Report Table'!$A15, Table1[[Payment Method]:[Payment Method]], "Online", Table1[[Product]:[Product]], '02.MIS Report Table'!I$6)</f>
        <v>48716.26999999999</v>
      </c>
      <c r="J15" s="39">
        <f>SUMIFS(IF(ISEVEN('07.DRW'!$K$4),INDEX(Table1[],,10),INDEX(Table1[],,11)), Table1[[Customer name]:[Customer name]], '02.MIS Report Table'!$A15, Table1[[Payment Method]:[Payment Method]], "Cash", Table1[[Product]:[Product]], '02.MIS Report Table'!B$6)</f>
        <v>0</v>
      </c>
      <c r="K15" s="39">
        <f>SUMIFS(IF(ISEVEN('07.DRW'!$K$4),INDEX(Table1[],,10),INDEX(Table1[],,11)), Table1[[Customer name]:[Customer name]], '02.MIS Report Table'!$A15, Table1[[Payment Method]:[Payment Method]], "Cash", Table1[[Product]:[Product]], '02.MIS Report Table'!C$6)</f>
        <v>37027.200000000012</v>
      </c>
      <c r="L15" s="39">
        <f>SUMIFS(IF(ISEVEN('07.DRW'!$K$4),INDEX(Table1[],,10),INDEX(Table1[],,11)), Table1[[Customer name]:[Customer name]], '02.MIS Report Table'!$A15, Table1[[Payment Method]:[Payment Method]], "Cash", Table1[[Product]:[Product]], '02.MIS Report Table'!D$6)</f>
        <v>23950.62000000001</v>
      </c>
      <c r="M15" s="39">
        <f>SUMIFS(IF(ISEVEN('07.DRW'!$K$4),INDEX(Table1[],,10),INDEX(Table1[],,11)), Table1[[Customer name]:[Customer name]], '02.MIS Report Table'!$A15, Table1[[Payment Method]:[Payment Method]], "Cash", Table1[[Product]:[Product]], '02.MIS Report Table'!E$6)</f>
        <v>28551.75</v>
      </c>
      <c r="N15" s="39">
        <f>SUMIFS(IF(ISEVEN('07.DRW'!$K$4),INDEX(Table1[],,10),INDEX(Table1[],,11)), Table1[[Customer name]:[Customer name]], '02.MIS Report Table'!$A15, Table1[[Payment Method]:[Payment Method]], "Cash", Table1[[Product]:[Product]], '02.MIS Report Table'!F$6)</f>
        <v>24453.440000000002</v>
      </c>
      <c r="O15" s="39">
        <f>SUMIFS(IF(ISEVEN('07.DRW'!$K$4),INDEX(Table1[],,10),INDEX(Table1[],,11)), Table1[[Customer name]:[Customer name]], '02.MIS Report Table'!$A15, Table1[[Payment Method]:[Payment Method]], "Cash", Table1[[Product]:[Product]], '02.MIS Report Table'!G$6)</f>
        <v>57698.520000000033</v>
      </c>
      <c r="P15" s="39">
        <f>SUMIFS(IF(ISEVEN('07.DRW'!$K$4),INDEX(Table1[],,10),INDEX(Table1[],,11)), Table1[[Customer name]:[Customer name]], '02.MIS Report Table'!$A15, Table1[[Payment Method]:[Payment Method]], "Cash", Table1[[Product]:[Product]], '02.MIS Report Table'!H$6)</f>
        <v>69422.87999999999</v>
      </c>
      <c r="Q15" s="39">
        <f>SUMIFS(IF(ISEVEN('07.DRW'!$K$4),INDEX(Table1[],,10),INDEX(Table1[],,11)), Table1[[Customer name]:[Customer name]], '02.MIS Report Table'!$A15, Table1[[Payment Method]:[Payment Method]], "Cash", Table1[[Product]:[Product]], '02.MIS Report Table'!I$6)</f>
        <v>0</v>
      </c>
      <c r="R15" s="59">
        <f t="shared" si="0"/>
        <v>484614.46</v>
      </c>
    </row>
    <row r="16" spans="1:18" x14ac:dyDescent="0.3">
      <c r="A16" s="58" t="s">
        <v>35</v>
      </c>
      <c r="B16" s="39">
        <f>SUMIFS(IF(ISEVEN('07.DRW'!$K$4),INDEX(Table1[],,10),INDEX(Table1[],,11)), Table1[[Customer name]:[Customer name]], '02.MIS Report Table'!$A16, Table1[[Payment Method]:[Payment Method]], "Online", Table1[[Product]:[Product]], '02.MIS Report Table'!B$6)</f>
        <v>87732.23000000001</v>
      </c>
      <c r="C16" s="39">
        <f>SUMIFS(IF(ISEVEN('07.DRW'!$K$4),INDEX(Table1[],,10),INDEX(Table1[],,11)), Table1[[Customer name]:[Customer name]], '02.MIS Report Table'!$A16, Table1[[Payment Method]:[Payment Method]], "Online", Table1[[Product]:[Product]], '02.MIS Report Table'!C$6)</f>
        <v>0</v>
      </c>
      <c r="D16" s="39">
        <f>SUMIFS(IF(ISEVEN('07.DRW'!$K$4),INDEX(Table1[],,10),INDEX(Table1[],,11)), Table1[[Customer name]:[Customer name]], '02.MIS Report Table'!$A16, Table1[[Payment Method]:[Payment Method]], "Online", Table1[[Product]:[Product]], '02.MIS Report Table'!D$6)</f>
        <v>65225.799999999996</v>
      </c>
      <c r="E16" s="39">
        <f>SUMIFS(IF(ISEVEN('07.DRW'!$K$4),INDEX(Table1[],,10),INDEX(Table1[],,11)), Table1[[Customer name]:[Customer name]], '02.MIS Report Table'!$A16, Table1[[Payment Method]:[Payment Method]], "Online", Table1[[Product]:[Product]], '02.MIS Report Table'!E$6)</f>
        <v>19211.530000000013</v>
      </c>
      <c r="F16" s="39">
        <f>SUMIFS(IF(ISEVEN('07.DRW'!$K$4),INDEX(Table1[],,10),INDEX(Table1[],,11)), Table1[[Customer name]:[Customer name]], '02.MIS Report Table'!$A16, Table1[[Payment Method]:[Payment Method]], "Online", Table1[[Product]:[Product]], '02.MIS Report Table'!F$6)</f>
        <v>66184.639999999985</v>
      </c>
      <c r="G16" s="39">
        <f>SUMIFS(IF(ISEVEN('07.DRW'!$K$4),INDEX(Table1[],,10),INDEX(Table1[],,11)), Table1[[Customer name]:[Customer name]], '02.MIS Report Table'!$A16, Table1[[Payment Method]:[Payment Method]], "Online", Table1[[Product]:[Product]], '02.MIS Report Table'!G$6)</f>
        <v>87304.199999999983</v>
      </c>
      <c r="H16" s="39">
        <f>SUMIFS(IF(ISEVEN('07.DRW'!$K$4),INDEX(Table1[],,10),INDEX(Table1[],,11)), Table1[[Customer name]:[Customer name]], '02.MIS Report Table'!$A16, Table1[[Payment Method]:[Payment Method]], "Online", Table1[[Product]:[Product]], '02.MIS Report Table'!H$6)</f>
        <v>2076.84</v>
      </c>
      <c r="I16" s="39">
        <f>SUMIFS(IF(ISEVEN('07.DRW'!$K$4),INDEX(Table1[],,10),INDEX(Table1[],,11)), Table1[[Customer name]:[Customer name]], '02.MIS Report Table'!$A16, Table1[[Payment Method]:[Payment Method]], "Online", Table1[[Product]:[Product]], '02.MIS Report Table'!I$6)</f>
        <v>48710.490000000005</v>
      </c>
      <c r="J16" s="39">
        <f>SUMIFS(IF(ISEVEN('07.DRW'!$K$4),INDEX(Table1[],,10),INDEX(Table1[],,11)), Table1[[Customer name]:[Customer name]], '02.MIS Report Table'!$A16, Table1[[Payment Method]:[Payment Method]], "Cash", Table1[[Product]:[Product]], '02.MIS Report Table'!B$6)</f>
        <v>22470</v>
      </c>
      <c r="K16" s="39">
        <f>SUMIFS(IF(ISEVEN('07.DRW'!$K$4),INDEX(Table1[],,10),INDEX(Table1[],,11)), Table1[[Customer name]:[Customer name]], '02.MIS Report Table'!$A16, Table1[[Payment Method]:[Payment Method]], "Cash", Table1[[Product]:[Product]], '02.MIS Report Table'!C$6)</f>
        <v>21572.599999999991</v>
      </c>
      <c r="L16" s="39">
        <f>SUMIFS(IF(ISEVEN('07.DRW'!$K$4),INDEX(Table1[],,10),INDEX(Table1[],,11)), Table1[[Customer name]:[Customer name]], '02.MIS Report Table'!$A16, Table1[[Payment Method]:[Payment Method]], "Cash", Table1[[Product]:[Product]], '02.MIS Report Table'!D$6)</f>
        <v>0</v>
      </c>
      <c r="M16" s="39">
        <f>SUMIFS(IF(ISEVEN('07.DRW'!$K$4),INDEX(Table1[],,10),INDEX(Table1[],,11)), Table1[[Customer name]:[Customer name]], '02.MIS Report Table'!$A16, Table1[[Payment Method]:[Payment Method]], "Cash", Table1[[Product]:[Product]], '02.MIS Report Table'!E$6)</f>
        <v>0</v>
      </c>
      <c r="N16" s="39">
        <f>SUMIFS(IF(ISEVEN('07.DRW'!$K$4),INDEX(Table1[],,10),INDEX(Table1[],,11)), Table1[[Customer name]:[Customer name]], '02.MIS Report Table'!$A16, Table1[[Payment Method]:[Payment Method]], "Cash", Table1[[Product]:[Product]], '02.MIS Report Table'!F$6)</f>
        <v>113797.68000000002</v>
      </c>
      <c r="O16" s="39">
        <f>SUMIFS(IF(ISEVEN('07.DRW'!$K$4),INDEX(Table1[],,10),INDEX(Table1[],,11)), Table1[[Customer name]:[Customer name]], '02.MIS Report Table'!$A16, Table1[[Payment Method]:[Payment Method]], "Cash", Table1[[Product]:[Product]], '02.MIS Report Table'!G$6)</f>
        <v>10754.100000000006</v>
      </c>
      <c r="P16" s="39">
        <f>SUMIFS(IF(ISEVEN('07.DRW'!$K$4),INDEX(Table1[],,10),INDEX(Table1[],,11)), Table1[[Customer name]:[Customer name]], '02.MIS Report Table'!$A16, Table1[[Payment Method]:[Payment Method]], "Cash", Table1[[Product]:[Product]], '02.MIS Report Table'!H$6)</f>
        <v>0</v>
      </c>
      <c r="Q16" s="39">
        <f>SUMIFS(IF(ISEVEN('07.DRW'!$K$4),INDEX(Table1[],,10),INDEX(Table1[],,11)), Table1[[Customer name]:[Customer name]], '02.MIS Report Table'!$A16, Table1[[Payment Method]:[Payment Method]], "Cash", Table1[[Product]:[Product]], '02.MIS Report Table'!I$6)</f>
        <v>58108.809999999969</v>
      </c>
      <c r="R16" s="59">
        <f t="shared" si="0"/>
        <v>603148.91999999993</v>
      </c>
    </row>
    <row r="17" spans="1:18" x14ac:dyDescent="0.3">
      <c r="A17" s="58" t="s">
        <v>51</v>
      </c>
      <c r="B17" s="39">
        <f>SUMIFS(IF(ISEVEN('07.DRW'!$K$4),INDEX(Table1[],,10),INDEX(Table1[],,11)), Table1[[Customer name]:[Customer name]], '02.MIS Report Table'!$A17, Table1[[Payment Method]:[Payment Method]], "Online", Table1[[Product]:[Product]], '02.MIS Report Table'!B$6)</f>
        <v>100613.94999999998</v>
      </c>
      <c r="C17" s="39">
        <f>SUMIFS(IF(ISEVEN('07.DRW'!$K$4),INDEX(Table1[],,10),INDEX(Table1[],,11)), Table1[[Customer name]:[Customer name]], '02.MIS Report Table'!$A17, Table1[[Payment Method]:[Payment Method]], "Online", Table1[[Product]:[Product]], '02.MIS Report Table'!C$6)</f>
        <v>19789.770000000019</v>
      </c>
      <c r="D17" s="39">
        <f>SUMIFS(IF(ISEVEN('07.DRW'!$K$4),INDEX(Table1[],,10),INDEX(Table1[],,11)), Table1[[Customer name]:[Customer name]], '02.MIS Report Table'!$A17, Table1[[Payment Method]:[Payment Method]], "Online", Table1[[Product]:[Product]], '02.MIS Report Table'!D$6)</f>
        <v>31183.040000000001</v>
      </c>
      <c r="E17" s="39">
        <f>SUMIFS(IF(ISEVEN('07.DRW'!$K$4),INDEX(Table1[],,10),INDEX(Table1[],,11)), Table1[[Customer name]:[Customer name]], '02.MIS Report Table'!$A17, Table1[[Payment Method]:[Payment Method]], "Online", Table1[[Product]:[Product]], '02.MIS Report Table'!E$6)</f>
        <v>2046.2400000000016</v>
      </c>
      <c r="F17" s="39">
        <f>SUMIFS(IF(ISEVEN('07.DRW'!$K$4),INDEX(Table1[],,10),INDEX(Table1[],,11)), Table1[[Customer name]:[Customer name]], '02.MIS Report Table'!$A17, Table1[[Payment Method]:[Payment Method]], "Online", Table1[[Product]:[Product]], '02.MIS Report Table'!F$6)</f>
        <v>60373.100000000035</v>
      </c>
      <c r="G17" s="39">
        <f>SUMIFS(IF(ISEVEN('07.DRW'!$K$4),INDEX(Table1[],,10),INDEX(Table1[],,11)), Table1[[Customer name]:[Customer name]], '02.MIS Report Table'!$A17, Table1[[Payment Method]:[Payment Method]], "Online", Table1[[Product]:[Product]], '02.MIS Report Table'!G$6)</f>
        <v>0</v>
      </c>
      <c r="H17" s="39">
        <f>SUMIFS(IF(ISEVEN('07.DRW'!$K$4),INDEX(Table1[],,10),INDEX(Table1[],,11)), Table1[[Customer name]:[Customer name]], '02.MIS Report Table'!$A17, Table1[[Payment Method]:[Payment Method]], "Online", Table1[[Product]:[Product]], '02.MIS Report Table'!H$6)</f>
        <v>77419.440000000031</v>
      </c>
      <c r="I17" s="39">
        <f>SUMIFS(IF(ISEVEN('07.DRW'!$K$4),INDEX(Table1[],,10),INDEX(Table1[],,11)), Table1[[Customer name]:[Customer name]], '02.MIS Report Table'!$A17, Table1[[Payment Method]:[Payment Method]], "Online", Table1[[Product]:[Product]], '02.MIS Report Table'!I$6)</f>
        <v>3989.5200000000004</v>
      </c>
      <c r="J17" s="39">
        <f>SUMIFS(IF(ISEVEN('07.DRW'!$K$4),INDEX(Table1[],,10),INDEX(Table1[],,11)), Table1[[Customer name]:[Customer name]], '02.MIS Report Table'!$A17, Table1[[Payment Method]:[Payment Method]], "Cash", Table1[[Product]:[Product]], '02.MIS Report Table'!B$6)</f>
        <v>0</v>
      </c>
      <c r="K17" s="39">
        <f>SUMIFS(IF(ISEVEN('07.DRW'!$K$4),INDEX(Table1[],,10),INDEX(Table1[],,11)), Table1[[Customer name]:[Customer name]], '02.MIS Report Table'!$A17, Table1[[Payment Method]:[Payment Method]], "Cash", Table1[[Product]:[Product]], '02.MIS Report Table'!C$6)</f>
        <v>0</v>
      </c>
      <c r="L17" s="39">
        <f>SUMIFS(IF(ISEVEN('07.DRW'!$K$4),INDEX(Table1[],,10),INDEX(Table1[],,11)), Table1[[Customer name]:[Customer name]], '02.MIS Report Table'!$A17, Table1[[Payment Method]:[Payment Method]], "Cash", Table1[[Product]:[Product]], '02.MIS Report Table'!D$6)</f>
        <v>2075.6399999999994</v>
      </c>
      <c r="M17" s="39">
        <f>SUMIFS(IF(ISEVEN('07.DRW'!$K$4),INDEX(Table1[],,10),INDEX(Table1[],,11)), Table1[[Customer name]:[Customer name]], '02.MIS Report Table'!$A17, Table1[[Payment Method]:[Payment Method]], "Cash", Table1[[Product]:[Product]], '02.MIS Report Table'!E$6)</f>
        <v>0</v>
      </c>
      <c r="N17" s="39">
        <f>SUMIFS(IF(ISEVEN('07.DRW'!$K$4),INDEX(Table1[],,10),INDEX(Table1[],,11)), Table1[[Customer name]:[Customer name]], '02.MIS Report Table'!$A17, Table1[[Payment Method]:[Payment Method]], "Cash", Table1[[Product]:[Product]], '02.MIS Report Table'!F$6)</f>
        <v>0</v>
      </c>
      <c r="O17" s="39">
        <f>SUMIFS(IF(ISEVEN('07.DRW'!$K$4),INDEX(Table1[],,10),INDEX(Table1[],,11)), Table1[[Customer name]:[Customer name]], '02.MIS Report Table'!$A17, Table1[[Payment Method]:[Payment Method]], "Cash", Table1[[Product]:[Product]], '02.MIS Report Table'!G$6)</f>
        <v>23515.840000000004</v>
      </c>
      <c r="P17" s="39">
        <f>SUMIFS(IF(ISEVEN('07.DRW'!$K$4),INDEX(Table1[],,10),INDEX(Table1[],,11)), Table1[[Customer name]:[Customer name]], '02.MIS Report Table'!$A17, Table1[[Payment Method]:[Payment Method]], "Cash", Table1[[Product]:[Product]], '02.MIS Report Table'!H$6)</f>
        <v>24192.75</v>
      </c>
      <c r="Q17" s="39">
        <f>SUMIFS(IF(ISEVEN('07.DRW'!$K$4),INDEX(Table1[],,10),INDEX(Table1[],,11)), Table1[[Customer name]:[Customer name]], '02.MIS Report Table'!$A17, Table1[[Payment Method]:[Payment Method]], "Cash", Table1[[Product]:[Product]], '02.MIS Report Table'!I$6)</f>
        <v>19723.200000000012</v>
      </c>
      <c r="R17" s="59">
        <f t="shared" si="0"/>
        <v>364922.49000000011</v>
      </c>
    </row>
    <row r="18" spans="1:18" ht="15" thickBot="1" x14ac:dyDescent="0.35">
      <c r="A18" s="4" t="s">
        <v>89</v>
      </c>
      <c r="B18" s="59">
        <f>SUM(B7:B17)</f>
        <v>408777.19999999995</v>
      </c>
      <c r="C18" s="59">
        <f>SUM(C7:C17)</f>
        <v>574591.1100000001</v>
      </c>
      <c r="D18" s="59">
        <f>SUM(D7:D17)</f>
        <v>525382.25</v>
      </c>
      <c r="E18" s="59">
        <f>SUM(E7:E17)</f>
        <v>304217.32000000007</v>
      </c>
      <c r="F18" s="59">
        <f>SUM(F7:F17)</f>
        <v>138896.40000000011</v>
      </c>
      <c r="G18" s="59">
        <f>SUM(G7:G17)</f>
        <v>348399.24</v>
      </c>
      <c r="H18" s="59">
        <f>SUM(H7:H17)</f>
        <v>327336.28000000009</v>
      </c>
      <c r="I18" s="59">
        <f>SUM(I7:I17)</f>
        <v>327682.08000000007</v>
      </c>
      <c r="J18" s="59">
        <f>SUM(J7:J17)</f>
        <v>353979.65000000008</v>
      </c>
      <c r="K18" s="59">
        <f>SUM(K7:K17)</f>
        <v>322670.25000000006</v>
      </c>
      <c r="L18" s="59">
        <f>SUM(L7:L17)</f>
        <v>197934.30000000005</v>
      </c>
      <c r="M18" s="59">
        <f>SUM(M7:M17)</f>
        <v>260293.16999999998</v>
      </c>
      <c r="N18" s="59">
        <f>SUM(N7:N17)</f>
        <v>450743.17000000004</v>
      </c>
      <c r="O18" s="59">
        <f>SUM(O7:O17)</f>
        <v>393164.2</v>
      </c>
      <c r="P18" s="59">
        <f>SUM(P7:P17)</f>
        <v>337433.49</v>
      </c>
      <c r="Q18" s="59">
        <f>SUM(Q7:Q17)</f>
        <v>331823.45</v>
      </c>
      <c r="R18" s="60">
        <f t="shared" ref="J18:R18" si="1">SUM(R7:R17)</f>
        <v>5603323.5600000005</v>
      </c>
    </row>
    <row r="20" spans="1:18" x14ac:dyDescent="0.3">
      <c r="E20" s="52"/>
    </row>
    <row r="24" spans="1:18" x14ac:dyDescent="0.3">
      <c r="E24" s="2"/>
    </row>
    <row r="25" spans="1:18" x14ac:dyDescent="0.3">
      <c r="D25" s="39"/>
    </row>
  </sheetData>
  <mergeCells count="5">
    <mergeCell ref="B5:I5"/>
    <mergeCell ref="J5:Q5"/>
    <mergeCell ref="A5:A6"/>
    <mergeCell ref="R5:R6"/>
    <mergeCell ref="A1:R4"/>
  </mergeCells>
  <conditionalFormatting sqref="B7:R18">
    <cfRule type="cellIs" dxfId="0" priority="2" operator="lessThan">
      <formula>0</formula>
    </cfRule>
    <cfRule type="cellIs" dxfId="1" priority="1" operator="equal">
      <formula>0</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4" r:id="rId3" name="Spinner 2">
              <controlPr defaultSize="0" autoPict="0">
                <anchor moveWithCells="1" sizeWithCells="1">
                  <from>
                    <xdr:col>6</xdr:col>
                    <xdr:colOff>556260</xdr:colOff>
                    <xdr:row>0</xdr:row>
                    <xdr:rowOff>38100</xdr:rowOff>
                  </from>
                  <to>
                    <xdr:col>7</xdr:col>
                    <xdr:colOff>266700</xdr:colOff>
                    <xdr:row>3</xdr:row>
                    <xdr:rowOff>167640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90B6A-8CBF-42F4-8A31-A9AAE243C014}">
  <dimension ref="A1:E23"/>
  <sheetViews>
    <sheetView zoomScale="125" workbookViewId="0">
      <selection activeCell="C25" sqref="C25"/>
    </sheetView>
  </sheetViews>
  <sheetFormatPr defaultRowHeight="14.4" x14ac:dyDescent="0.3"/>
  <cols>
    <col min="1" max="1" width="15.88671875" bestFit="1" customWidth="1"/>
    <col min="2" max="2" width="11.109375" bestFit="1" customWidth="1"/>
    <col min="3" max="3" width="18.109375" bestFit="1" customWidth="1"/>
    <col min="4" max="4" width="16.44140625" bestFit="1" customWidth="1"/>
    <col min="5" max="5" width="13.109375" bestFit="1" customWidth="1"/>
    <col min="8" max="8" width="15.5546875" bestFit="1" customWidth="1"/>
    <col min="9" max="9" width="11.109375" bestFit="1" customWidth="1"/>
    <col min="10" max="10" width="18.109375" bestFit="1" customWidth="1"/>
    <col min="11" max="11" width="16.44140625" bestFit="1" customWidth="1"/>
    <col min="12" max="12" width="13.109375" bestFit="1" customWidth="1"/>
  </cols>
  <sheetData>
    <row r="1" spans="1:5" x14ac:dyDescent="0.3">
      <c r="A1" s="42" t="s">
        <v>399</v>
      </c>
      <c r="B1" s="42"/>
      <c r="C1" s="42"/>
      <c r="D1" s="42"/>
      <c r="E1" s="42"/>
    </row>
    <row r="2" spans="1:5" x14ac:dyDescent="0.3">
      <c r="A2" s="42"/>
      <c r="B2" s="42"/>
      <c r="C2" s="42"/>
      <c r="D2" s="42"/>
      <c r="E2" s="42"/>
    </row>
    <row r="3" spans="1:5" x14ac:dyDescent="0.3">
      <c r="A3" s="3" t="s">
        <v>71</v>
      </c>
      <c r="B3" s="3" t="s">
        <v>1</v>
      </c>
      <c r="C3" s="3" t="s">
        <v>392</v>
      </c>
      <c r="D3" s="3" t="s">
        <v>80</v>
      </c>
      <c r="E3" s="3" t="s">
        <v>87</v>
      </c>
    </row>
    <row r="4" spans="1:5" x14ac:dyDescent="0.3">
      <c r="A4" t="s">
        <v>72</v>
      </c>
      <c r="B4" t="s">
        <v>4</v>
      </c>
      <c r="C4" s="2">
        <v>2222663.3499999996</v>
      </c>
      <c r="D4" s="2">
        <v>2605472</v>
      </c>
      <c r="E4" s="2">
        <v>353979.65</v>
      </c>
    </row>
    <row r="5" spans="1:5" x14ac:dyDescent="0.3">
      <c r="B5" t="s">
        <v>13</v>
      </c>
      <c r="C5" s="2">
        <v>1600327.7499999998</v>
      </c>
      <c r="D5" s="2">
        <v>1716530</v>
      </c>
      <c r="E5" s="2">
        <v>322670.25000000006</v>
      </c>
    </row>
    <row r="6" spans="1:5" x14ac:dyDescent="0.3">
      <c r="B6" t="s">
        <v>20</v>
      </c>
      <c r="C6" s="2">
        <v>1530606.6999999997</v>
      </c>
      <c r="D6" s="2">
        <v>1728541</v>
      </c>
      <c r="E6" s="2">
        <v>197934.30000000008</v>
      </c>
    </row>
    <row r="7" spans="1:5" x14ac:dyDescent="0.3">
      <c r="B7" t="s">
        <v>28</v>
      </c>
      <c r="C7" s="2">
        <v>1365813.8299999998</v>
      </c>
      <c r="D7" s="2">
        <v>1587981</v>
      </c>
      <c r="E7" s="2">
        <v>260293.17</v>
      </c>
    </row>
    <row r="8" spans="1:5" x14ac:dyDescent="0.3">
      <c r="B8" t="s">
        <v>37</v>
      </c>
      <c r="C8" s="2">
        <v>2719610.83</v>
      </c>
      <c r="D8" s="2">
        <v>2520937</v>
      </c>
      <c r="E8" s="2">
        <v>450743.16999999993</v>
      </c>
    </row>
    <row r="9" spans="1:5" x14ac:dyDescent="0.3">
      <c r="B9" t="s">
        <v>44</v>
      </c>
      <c r="C9" s="2">
        <v>2346270</v>
      </c>
      <c r="D9" s="2">
        <v>2913564</v>
      </c>
      <c r="E9" s="2">
        <v>393164.19999999995</v>
      </c>
    </row>
    <row r="10" spans="1:5" x14ac:dyDescent="0.3">
      <c r="B10" t="s">
        <v>49</v>
      </c>
      <c r="C10" s="2">
        <v>2371527.5099999998</v>
      </c>
      <c r="D10" s="2">
        <v>2679963</v>
      </c>
      <c r="E10" s="2">
        <v>337433.49</v>
      </c>
    </row>
    <row r="11" spans="1:5" x14ac:dyDescent="0.3">
      <c r="B11" t="s">
        <v>60</v>
      </c>
      <c r="C11" s="2">
        <v>2084165.5499999998</v>
      </c>
      <c r="D11" s="2">
        <v>2727303</v>
      </c>
      <c r="E11" s="2">
        <v>331823.45000000007</v>
      </c>
    </row>
    <row r="12" spans="1:5" x14ac:dyDescent="0.3">
      <c r="A12" s="21" t="s">
        <v>83</v>
      </c>
      <c r="B12" s="21"/>
      <c r="C12" s="22">
        <v>16240985.52</v>
      </c>
      <c r="D12" s="22">
        <v>18480291</v>
      </c>
      <c r="E12" s="22">
        <v>2648041.6800000002</v>
      </c>
    </row>
    <row r="13" spans="1:5" x14ac:dyDescent="0.3">
      <c r="A13" t="s">
        <v>73</v>
      </c>
      <c r="B13" t="s">
        <v>4</v>
      </c>
      <c r="C13" s="2">
        <v>2547423.7999999998</v>
      </c>
      <c r="D13" s="2">
        <v>2918683</v>
      </c>
      <c r="E13" s="2">
        <v>408777.2</v>
      </c>
    </row>
    <row r="14" spans="1:5" x14ac:dyDescent="0.3">
      <c r="B14" t="s">
        <v>13</v>
      </c>
      <c r="C14" s="2">
        <v>3218809.49</v>
      </c>
      <c r="D14" s="2">
        <v>3740479</v>
      </c>
      <c r="E14" s="2">
        <v>574591.1100000001</v>
      </c>
    </row>
    <row r="15" spans="1:5" x14ac:dyDescent="0.3">
      <c r="B15" t="s">
        <v>20</v>
      </c>
      <c r="C15" s="2">
        <v>2897412.7300000004</v>
      </c>
      <c r="D15" s="2">
        <v>2869945</v>
      </c>
      <c r="E15" s="2">
        <v>525382.25</v>
      </c>
    </row>
    <row r="16" spans="1:5" x14ac:dyDescent="0.3">
      <c r="B16" t="s">
        <v>28</v>
      </c>
      <c r="C16" s="2">
        <v>1684730.66</v>
      </c>
      <c r="D16" s="2">
        <v>1811860</v>
      </c>
      <c r="E16" s="2">
        <v>304217.32000000007</v>
      </c>
    </row>
    <row r="17" spans="1:5" x14ac:dyDescent="0.3">
      <c r="B17" t="s">
        <v>37</v>
      </c>
      <c r="C17" s="2">
        <v>2484528.96</v>
      </c>
      <c r="D17" s="2">
        <v>3402974</v>
      </c>
      <c r="E17" s="2">
        <v>138896.40000000011</v>
      </c>
    </row>
    <row r="18" spans="1:5" x14ac:dyDescent="0.3">
      <c r="B18" t="s">
        <v>44</v>
      </c>
      <c r="C18" s="2">
        <v>2038034.7600000002</v>
      </c>
      <c r="D18" s="2">
        <v>2408409</v>
      </c>
      <c r="E18" s="2">
        <v>348399.23999999993</v>
      </c>
    </row>
    <row r="19" spans="1:5" x14ac:dyDescent="0.3">
      <c r="B19" t="s">
        <v>49</v>
      </c>
      <c r="C19" s="2">
        <v>2113037.2399999998</v>
      </c>
      <c r="D19" s="2">
        <v>2509567</v>
      </c>
      <c r="E19" s="2">
        <v>327336.28000000014</v>
      </c>
    </row>
    <row r="20" spans="1:5" x14ac:dyDescent="0.3">
      <c r="B20" t="s">
        <v>60</v>
      </c>
      <c r="C20" s="2">
        <v>1945089.9199999997</v>
      </c>
      <c r="D20" s="2">
        <v>1692256</v>
      </c>
      <c r="E20" s="2">
        <v>327682.08000000007</v>
      </c>
    </row>
    <row r="21" spans="1:5" x14ac:dyDescent="0.3">
      <c r="A21" s="21" t="s">
        <v>84</v>
      </c>
      <c r="B21" s="21"/>
      <c r="C21" s="22">
        <v>18929067.559999999</v>
      </c>
      <c r="D21" s="22">
        <v>21354173</v>
      </c>
      <c r="E21" s="22">
        <v>2955281.8800000004</v>
      </c>
    </row>
    <row r="23" spans="1:5" x14ac:dyDescent="0.3">
      <c r="A23" s="21" t="s">
        <v>74</v>
      </c>
      <c r="B23" s="21"/>
      <c r="C23" s="22">
        <v>35170053.080000006</v>
      </c>
      <c r="D23" s="22">
        <v>39834464</v>
      </c>
      <c r="E23" s="22">
        <v>5603323.5600000015</v>
      </c>
    </row>
  </sheetData>
  <mergeCells count="1">
    <mergeCell ref="A1: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37B46-63BA-407B-B55E-641CF99E16BC}">
  <dimension ref="A1:E29"/>
  <sheetViews>
    <sheetView zoomScale="111" zoomScaleNormal="130" workbookViewId="0">
      <selection activeCell="I7" sqref="I7"/>
    </sheetView>
  </sheetViews>
  <sheetFormatPr defaultRowHeight="14.4" x14ac:dyDescent="0.3"/>
  <cols>
    <col min="1" max="1" width="15.88671875" bestFit="1" customWidth="1"/>
    <col min="2" max="2" width="14.44140625" bestFit="1" customWidth="1"/>
    <col min="3" max="3" width="18.109375" bestFit="1" customWidth="1"/>
    <col min="4" max="4" width="16.44140625" bestFit="1" customWidth="1"/>
    <col min="5" max="5" width="12.6640625" bestFit="1" customWidth="1"/>
    <col min="6" max="6" width="11.44140625" bestFit="1" customWidth="1"/>
    <col min="9" max="9" width="15.88671875" bestFit="1" customWidth="1"/>
    <col min="10" max="10" width="16.6640625" bestFit="1" customWidth="1"/>
    <col min="11" max="11" width="18.109375" bestFit="1" customWidth="1"/>
    <col min="12" max="12" width="16.44140625" bestFit="1" customWidth="1"/>
    <col min="13" max="13" width="12.6640625" bestFit="1" customWidth="1"/>
  </cols>
  <sheetData>
    <row r="1" spans="1:5" x14ac:dyDescent="0.3">
      <c r="A1" s="42" t="s">
        <v>398</v>
      </c>
      <c r="B1" s="42"/>
      <c r="C1" s="42"/>
      <c r="D1" s="42"/>
      <c r="E1" s="42"/>
    </row>
    <row r="2" spans="1:5" x14ac:dyDescent="0.3">
      <c r="A2" s="42"/>
      <c r="B2" s="42"/>
      <c r="C2" s="42"/>
      <c r="D2" s="42"/>
      <c r="E2" s="42"/>
    </row>
    <row r="3" spans="1:5" ht="14.4" customHeight="1" x14ac:dyDescent="0.3">
      <c r="A3" s="3" t="s">
        <v>71</v>
      </c>
      <c r="B3" s="3" t="s">
        <v>78</v>
      </c>
      <c r="C3" s="3" t="s">
        <v>82</v>
      </c>
      <c r="D3" s="3" t="s">
        <v>80</v>
      </c>
      <c r="E3" s="3" t="s">
        <v>87</v>
      </c>
    </row>
    <row r="4" spans="1:5" x14ac:dyDescent="0.3">
      <c r="A4" t="s">
        <v>72</v>
      </c>
      <c r="B4" t="s">
        <v>10</v>
      </c>
      <c r="C4" s="2">
        <v>1383978.7</v>
      </c>
      <c r="D4" s="2">
        <v>1690529</v>
      </c>
      <c r="E4" s="2">
        <v>266474.30000000005</v>
      </c>
    </row>
    <row r="5" spans="1:5" x14ac:dyDescent="0.3">
      <c r="B5" t="s">
        <v>8</v>
      </c>
      <c r="C5" s="2">
        <v>1260089.2999999998</v>
      </c>
      <c r="D5" s="2">
        <v>1264629</v>
      </c>
      <c r="E5" s="2">
        <v>182364.69999999995</v>
      </c>
    </row>
    <row r="6" spans="1:5" x14ac:dyDescent="0.3">
      <c r="B6" t="s">
        <v>3</v>
      </c>
      <c r="C6" s="2">
        <v>1613003.15</v>
      </c>
      <c r="D6" s="2">
        <v>1950007</v>
      </c>
      <c r="E6" s="2">
        <v>261778.05</v>
      </c>
    </row>
    <row r="7" spans="1:5" x14ac:dyDescent="0.3">
      <c r="B7" t="s">
        <v>31</v>
      </c>
      <c r="C7" s="2">
        <v>1799424.59</v>
      </c>
      <c r="D7" s="2">
        <v>1934705</v>
      </c>
      <c r="E7" s="2">
        <v>241104.41000000006</v>
      </c>
    </row>
    <row r="8" spans="1:5" x14ac:dyDescent="0.3">
      <c r="B8" t="s">
        <v>51</v>
      </c>
      <c r="C8" s="2">
        <v>443035.56999999995</v>
      </c>
      <c r="D8" s="2">
        <v>492435</v>
      </c>
      <c r="E8" s="2">
        <v>69507.430000000022</v>
      </c>
    </row>
    <row r="9" spans="1:5" x14ac:dyDescent="0.3">
      <c r="B9" t="s">
        <v>35</v>
      </c>
      <c r="C9" s="2">
        <v>1285022.8099999998</v>
      </c>
      <c r="D9" s="2">
        <v>1511726</v>
      </c>
      <c r="E9" s="2">
        <v>226703.18999999997</v>
      </c>
    </row>
    <row r="10" spans="1:5" x14ac:dyDescent="0.3">
      <c r="B10" t="s">
        <v>24</v>
      </c>
      <c r="C10" s="2">
        <v>2478485.09</v>
      </c>
      <c r="D10" s="2">
        <v>2621012</v>
      </c>
      <c r="E10" s="2">
        <v>356881.90999999986</v>
      </c>
    </row>
    <row r="11" spans="1:5" x14ac:dyDescent="0.3">
      <c r="B11" t="s">
        <v>26</v>
      </c>
      <c r="C11" s="2">
        <v>1541733.83</v>
      </c>
      <c r="D11" s="2">
        <v>1797955</v>
      </c>
      <c r="E11" s="2">
        <v>303149.17000000004</v>
      </c>
    </row>
    <row r="12" spans="1:5" x14ac:dyDescent="0.3">
      <c r="B12" t="s">
        <v>6</v>
      </c>
      <c r="C12" s="2">
        <v>1060171.8599999999</v>
      </c>
      <c r="D12" s="2">
        <v>1300094</v>
      </c>
      <c r="E12" s="2">
        <v>184314.14</v>
      </c>
    </row>
    <row r="13" spans="1:5" x14ac:dyDescent="0.3">
      <c r="B13" t="s">
        <v>22</v>
      </c>
      <c r="C13" s="2">
        <v>888284.88</v>
      </c>
      <c r="D13" s="2">
        <v>1039999</v>
      </c>
      <c r="E13" s="2">
        <v>151714.12</v>
      </c>
    </row>
    <row r="14" spans="1:5" x14ac:dyDescent="0.3">
      <c r="B14" t="s">
        <v>15</v>
      </c>
      <c r="C14" s="2">
        <v>2487755.7400000002</v>
      </c>
      <c r="D14" s="2">
        <v>2877200</v>
      </c>
      <c r="E14" s="2">
        <v>404050.26</v>
      </c>
    </row>
    <row r="15" spans="1:5" x14ac:dyDescent="0.3">
      <c r="A15" s="22" t="s">
        <v>83</v>
      </c>
      <c r="B15" s="22"/>
      <c r="C15" s="22">
        <v>16240985.520000001</v>
      </c>
      <c r="D15" s="22">
        <v>18480291</v>
      </c>
      <c r="E15" s="22">
        <v>2648041.6800000006</v>
      </c>
    </row>
    <row r="16" spans="1:5" x14ac:dyDescent="0.3">
      <c r="A16" t="s">
        <v>73</v>
      </c>
      <c r="B16" t="s">
        <v>10</v>
      </c>
      <c r="C16" s="2">
        <v>926446.59000000008</v>
      </c>
      <c r="D16" s="2">
        <v>1200316</v>
      </c>
      <c r="E16" s="2">
        <v>-9992.429999999993</v>
      </c>
    </row>
    <row r="17" spans="1:5" x14ac:dyDescent="0.3">
      <c r="B17" t="s">
        <v>8</v>
      </c>
      <c r="C17" s="2">
        <v>2558076.3000000003</v>
      </c>
      <c r="D17" s="2">
        <v>2625208</v>
      </c>
      <c r="E17" s="2">
        <v>440797.57999999996</v>
      </c>
    </row>
    <row r="18" spans="1:5" x14ac:dyDescent="0.3">
      <c r="B18" t="s">
        <v>3</v>
      </c>
      <c r="C18" s="2">
        <v>1203038.9500000002</v>
      </c>
      <c r="D18" s="2">
        <v>1333669</v>
      </c>
      <c r="E18" s="2">
        <v>168148.05000000002</v>
      </c>
    </row>
    <row r="19" spans="1:5" x14ac:dyDescent="0.3">
      <c r="B19" t="s">
        <v>31</v>
      </c>
      <c r="C19" s="2">
        <v>1454294.95</v>
      </c>
      <c r="D19" s="2">
        <v>1504999</v>
      </c>
      <c r="E19" s="2">
        <v>243510.05</v>
      </c>
    </row>
    <row r="20" spans="1:5" x14ac:dyDescent="0.3">
      <c r="B20" t="s">
        <v>51</v>
      </c>
      <c r="C20" s="2">
        <v>2110650.46</v>
      </c>
      <c r="D20" s="2">
        <v>2432255</v>
      </c>
      <c r="E20" s="2">
        <v>295415.06000000011</v>
      </c>
    </row>
    <row r="21" spans="1:5" x14ac:dyDescent="0.3">
      <c r="B21" t="s">
        <v>35</v>
      </c>
      <c r="C21" s="2">
        <v>2203148.3700000006</v>
      </c>
      <c r="D21" s="2">
        <v>2591030</v>
      </c>
      <c r="E21" s="2">
        <v>376445.73</v>
      </c>
    </row>
    <row r="22" spans="1:5" x14ac:dyDescent="0.3">
      <c r="B22" t="s">
        <v>24</v>
      </c>
      <c r="C22" s="2">
        <v>1949211.5699999994</v>
      </c>
      <c r="D22" s="2">
        <v>2533697</v>
      </c>
      <c r="E22" s="2">
        <v>334613.43000000011</v>
      </c>
    </row>
    <row r="23" spans="1:5" x14ac:dyDescent="0.3">
      <c r="B23" t="s">
        <v>26</v>
      </c>
      <c r="C23" s="2">
        <v>2603846.7999999993</v>
      </c>
      <c r="D23" s="2">
        <v>2256907</v>
      </c>
      <c r="E23" s="2">
        <v>434471.20000000007</v>
      </c>
    </row>
    <row r="24" spans="1:5" x14ac:dyDescent="0.3">
      <c r="B24" t="s">
        <v>6</v>
      </c>
      <c r="C24" s="2">
        <v>2334172.9500000002</v>
      </c>
      <c r="D24" s="2">
        <v>3031443</v>
      </c>
      <c r="E24" s="2">
        <v>580576.7300000001</v>
      </c>
    </row>
    <row r="25" spans="1:5" x14ac:dyDescent="0.3">
      <c r="B25" t="s">
        <v>22</v>
      </c>
      <c r="C25" s="2">
        <v>938300.10000000009</v>
      </c>
      <c r="D25" s="2">
        <v>1050571</v>
      </c>
      <c r="E25" s="2">
        <v>-32925.999999999971</v>
      </c>
    </row>
    <row r="26" spans="1:5" x14ac:dyDescent="0.3">
      <c r="B26" t="s">
        <v>15</v>
      </c>
      <c r="C26" s="2">
        <v>647880.52</v>
      </c>
      <c r="D26" s="2">
        <v>794078</v>
      </c>
      <c r="E26" s="2">
        <v>124222.48000000001</v>
      </c>
    </row>
    <row r="27" spans="1:5" x14ac:dyDescent="0.3">
      <c r="A27" s="22" t="s">
        <v>84</v>
      </c>
      <c r="B27" s="22"/>
      <c r="C27" s="22">
        <v>18929067.560000002</v>
      </c>
      <c r="D27" s="22">
        <v>21354173</v>
      </c>
      <c r="E27" s="22">
        <v>2955281.8800000004</v>
      </c>
    </row>
    <row r="29" spans="1:5" x14ac:dyDescent="0.3">
      <c r="A29" s="22" t="s">
        <v>74</v>
      </c>
      <c r="B29" s="22"/>
      <c r="C29" s="22">
        <v>35170053.080000013</v>
      </c>
      <c r="D29" s="22">
        <v>39834464</v>
      </c>
      <c r="E29" s="22">
        <v>5603323.5600000015</v>
      </c>
    </row>
  </sheetData>
  <mergeCells count="1">
    <mergeCell ref="A1: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75F54-9C72-4E9F-A2CF-0B91CD5F1106}">
  <dimension ref="A1:E46"/>
  <sheetViews>
    <sheetView workbookViewId="0">
      <selection activeCell="J17" sqref="J17"/>
    </sheetView>
  </sheetViews>
  <sheetFormatPr defaultRowHeight="14.4" x14ac:dyDescent="0.3"/>
  <cols>
    <col min="1" max="1" width="18.6640625" bestFit="1" customWidth="1"/>
    <col min="2" max="2" width="14.6640625" bestFit="1" customWidth="1"/>
    <col min="3" max="3" width="18.109375" bestFit="1" customWidth="1"/>
    <col min="4" max="4" width="16.44140625" bestFit="1" customWidth="1"/>
    <col min="5" max="5" width="12.6640625" bestFit="1" customWidth="1"/>
  </cols>
  <sheetData>
    <row r="1" spans="1:5" x14ac:dyDescent="0.3">
      <c r="A1" s="42" t="s">
        <v>400</v>
      </c>
      <c r="B1" s="42"/>
      <c r="C1" s="42"/>
      <c r="D1" s="42"/>
      <c r="E1" s="42"/>
    </row>
    <row r="2" spans="1:5" x14ac:dyDescent="0.3">
      <c r="A2" s="42"/>
      <c r="B2" s="42"/>
      <c r="C2" s="42"/>
      <c r="D2" s="42"/>
      <c r="E2" s="42"/>
    </row>
    <row r="3" spans="1:5" x14ac:dyDescent="0.3">
      <c r="A3" s="3" t="s">
        <v>341</v>
      </c>
      <c r="B3" s="3" t="s">
        <v>342</v>
      </c>
      <c r="C3" s="3" t="s">
        <v>82</v>
      </c>
      <c r="D3" s="3" t="s">
        <v>80</v>
      </c>
      <c r="E3" s="3" t="s">
        <v>87</v>
      </c>
    </row>
    <row r="4" spans="1:5" x14ac:dyDescent="0.3">
      <c r="A4" t="s">
        <v>348</v>
      </c>
      <c r="B4" t="s">
        <v>384</v>
      </c>
      <c r="C4" s="2">
        <v>314274.71999999997</v>
      </c>
      <c r="D4" s="2">
        <v>361437</v>
      </c>
      <c r="E4" s="2">
        <v>47162.280000000021</v>
      </c>
    </row>
    <row r="5" spans="1:5" x14ac:dyDescent="0.3">
      <c r="B5" t="s">
        <v>349</v>
      </c>
      <c r="C5" s="2">
        <v>820593.17</v>
      </c>
      <c r="D5" s="2">
        <v>837721</v>
      </c>
      <c r="E5" s="2">
        <v>156655.83000000002</v>
      </c>
    </row>
    <row r="6" spans="1:5" x14ac:dyDescent="0.3">
      <c r="B6" t="s">
        <v>373</v>
      </c>
      <c r="C6" s="2">
        <v>1671318.14</v>
      </c>
      <c r="D6" s="2">
        <v>1943411</v>
      </c>
      <c r="E6" s="2">
        <v>255625.86</v>
      </c>
    </row>
    <row r="7" spans="1:5" x14ac:dyDescent="0.3">
      <c r="B7" t="s">
        <v>367</v>
      </c>
      <c r="C7" s="2">
        <v>918451.65000000014</v>
      </c>
      <c r="D7" s="2">
        <v>927123</v>
      </c>
      <c r="E7" s="2">
        <v>143463.35</v>
      </c>
    </row>
    <row r="8" spans="1:5" x14ac:dyDescent="0.3">
      <c r="B8" t="s">
        <v>377</v>
      </c>
      <c r="C8" s="2">
        <v>1159425.5499999998</v>
      </c>
      <c r="D8" s="2">
        <v>1153693</v>
      </c>
      <c r="E8" s="2">
        <v>172092.45</v>
      </c>
    </row>
    <row r="9" spans="1:5" x14ac:dyDescent="0.3">
      <c r="B9" t="s">
        <v>354</v>
      </c>
      <c r="C9" s="2">
        <v>834087.75</v>
      </c>
      <c r="D9" s="2">
        <v>717140</v>
      </c>
      <c r="E9" s="2">
        <v>139827.24999999997</v>
      </c>
    </row>
    <row r="10" spans="1:5" x14ac:dyDescent="0.3">
      <c r="A10" s="21" t="s">
        <v>386</v>
      </c>
      <c r="B10" s="21"/>
      <c r="C10" s="22">
        <v>5718150.9800000004</v>
      </c>
      <c r="D10" s="22">
        <v>5940525</v>
      </c>
      <c r="E10" s="22">
        <v>914827.02</v>
      </c>
    </row>
    <row r="11" spans="1:5" x14ac:dyDescent="0.3">
      <c r="A11" t="s">
        <v>351</v>
      </c>
      <c r="B11" t="s">
        <v>361</v>
      </c>
      <c r="C11" s="2">
        <v>393656.4</v>
      </c>
      <c r="D11" s="2">
        <v>479662</v>
      </c>
      <c r="E11" s="2">
        <v>70115.600000000006</v>
      </c>
    </row>
    <row r="12" spans="1:5" x14ac:dyDescent="0.3">
      <c r="B12" t="s">
        <v>362</v>
      </c>
      <c r="C12" s="2">
        <v>452736.87999999995</v>
      </c>
      <c r="D12" s="2">
        <v>463985</v>
      </c>
      <c r="E12" s="2">
        <v>129721.00000000003</v>
      </c>
    </row>
    <row r="13" spans="1:5" x14ac:dyDescent="0.3">
      <c r="B13" t="s">
        <v>352</v>
      </c>
      <c r="C13" s="2">
        <v>1518481.91</v>
      </c>
      <c r="D13" s="2">
        <v>1767240</v>
      </c>
      <c r="E13" s="2">
        <v>240661.69</v>
      </c>
    </row>
    <row r="14" spans="1:5" x14ac:dyDescent="0.3">
      <c r="B14" t="s">
        <v>353</v>
      </c>
      <c r="C14" s="2">
        <v>1533762.71</v>
      </c>
      <c r="D14" s="2">
        <v>1811163</v>
      </c>
      <c r="E14" s="2">
        <v>292006.2900000001</v>
      </c>
    </row>
    <row r="15" spans="1:5" x14ac:dyDescent="0.3">
      <c r="B15" t="s">
        <v>359</v>
      </c>
      <c r="C15" s="2">
        <v>769346.56000000006</v>
      </c>
      <c r="D15" s="2">
        <v>865578</v>
      </c>
      <c r="E15" s="2">
        <v>-48965.460000000021</v>
      </c>
    </row>
    <row r="16" spans="1:5" x14ac:dyDescent="0.3">
      <c r="B16" t="s">
        <v>380</v>
      </c>
      <c r="C16" s="2">
        <v>789030.44000000006</v>
      </c>
      <c r="D16" s="2">
        <v>936112</v>
      </c>
      <c r="E16" s="2">
        <v>147081.56</v>
      </c>
    </row>
    <row r="17" spans="1:5" x14ac:dyDescent="0.3">
      <c r="A17" s="21" t="s">
        <v>387</v>
      </c>
      <c r="B17" s="21"/>
      <c r="C17" s="22">
        <v>5457014.9000000004</v>
      </c>
      <c r="D17" s="22">
        <v>6323740</v>
      </c>
      <c r="E17" s="22">
        <v>830620.68000000017</v>
      </c>
    </row>
    <row r="18" spans="1:5" x14ac:dyDescent="0.3">
      <c r="A18" t="s">
        <v>355</v>
      </c>
      <c r="B18" t="s">
        <v>379</v>
      </c>
      <c r="C18" s="2">
        <v>1198896.44</v>
      </c>
      <c r="D18" s="2">
        <v>1046495</v>
      </c>
      <c r="E18" s="2">
        <v>204766.56000000003</v>
      </c>
    </row>
    <row r="19" spans="1:5" x14ac:dyDescent="0.3">
      <c r="B19" t="s">
        <v>363</v>
      </c>
      <c r="C19" s="2">
        <v>1102566.95</v>
      </c>
      <c r="D19" s="2">
        <v>1584478</v>
      </c>
      <c r="E19" s="2">
        <v>199874.05</v>
      </c>
    </row>
    <row r="20" spans="1:5" x14ac:dyDescent="0.3">
      <c r="B20" t="s">
        <v>374</v>
      </c>
      <c r="C20" s="2">
        <v>1438892.0099999998</v>
      </c>
      <c r="D20" s="2">
        <v>1954371</v>
      </c>
      <c r="E20" s="2">
        <v>267978.99000000011</v>
      </c>
    </row>
    <row r="21" spans="1:5" x14ac:dyDescent="0.3">
      <c r="B21" t="s">
        <v>372</v>
      </c>
      <c r="C21" s="2">
        <v>1619626.28</v>
      </c>
      <c r="D21" s="2">
        <v>1985496</v>
      </c>
      <c r="E21" s="2">
        <v>314566.71999999997</v>
      </c>
    </row>
    <row r="22" spans="1:5" x14ac:dyDescent="0.3">
      <c r="B22" t="s">
        <v>357</v>
      </c>
      <c r="C22" s="2">
        <v>721258.70000000007</v>
      </c>
      <c r="D22" s="2">
        <v>663951</v>
      </c>
      <c r="E22" s="2">
        <v>133255.30000000005</v>
      </c>
    </row>
    <row r="23" spans="1:5" x14ac:dyDescent="0.3">
      <c r="B23" t="s">
        <v>356</v>
      </c>
      <c r="C23" s="2">
        <v>813724.01</v>
      </c>
      <c r="D23" s="2">
        <v>764426</v>
      </c>
      <c r="E23" s="2">
        <v>142563.99</v>
      </c>
    </row>
    <row r="24" spans="1:5" x14ac:dyDescent="0.3">
      <c r="A24" s="21" t="s">
        <v>388</v>
      </c>
      <c r="B24" s="21"/>
      <c r="C24" s="22">
        <v>6894964.3899999997</v>
      </c>
      <c r="D24" s="22">
        <v>7999217</v>
      </c>
      <c r="E24" s="22">
        <v>1263005.6100000001</v>
      </c>
    </row>
    <row r="25" spans="1:5" x14ac:dyDescent="0.3">
      <c r="A25" t="s">
        <v>364</v>
      </c>
      <c r="B25" t="s">
        <v>382</v>
      </c>
      <c r="C25" s="2">
        <v>1568648.2</v>
      </c>
      <c r="D25" s="2">
        <v>1813907</v>
      </c>
      <c r="E25" s="2">
        <v>245258.79999999996</v>
      </c>
    </row>
    <row r="26" spans="1:5" x14ac:dyDescent="0.3">
      <c r="B26" t="s">
        <v>368</v>
      </c>
      <c r="C26" s="2">
        <v>790580.35999999987</v>
      </c>
      <c r="D26" s="2">
        <v>1364822</v>
      </c>
      <c r="E26" s="2">
        <v>21610.040000000045</v>
      </c>
    </row>
    <row r="27" spans="1:5" x14ac:dyDescent="0.3">
      <c r="B27" t="s">
        <v>383</v>
      </c>
      <c r="C27" s="2">
        <v>307608.38</v>
      </c>
      <c r="D27" s="2">
        <v>358778</v>
      </c>
      <c r="E27" s="2">
        <v>51169.619999999995</v>
      </c>
    </row>
    <row r="28" spans="1:5" x14ac:dyDescent="0.3">
      <c r="B28" t="s">
        <v>365</v>
      </c>
      <c r="C28" s="2">
        <v>839630.96</v>
      </c>
      <c r="D28" s="2">
        <v>992298</v>
      </c>
      <c r="E28" s="2">
        <v>136335.04000000004</v>
      </c>
    </row>
    <row r="29" spans="1:5" x14ac:dyDescent="0.3">
      <c r="B29" t="s">
        <v>378</v>
      </c>
      <c r="C29" s="2">
        <v>806209.44</v>
      </c>
      <c r="D29" s="2">
        <v>869318</v>
      </c>
      <c r="E29" s="2">
        <v>95031.559999999939</v>
      </c>
    </row>
    <row r="30" spans="1:5" x14ac:dyDescent="0.3">
      <c r="B30" t="s">
        <v>371</v>
      </c>
      <c r="C30" s="2">
        <v>719478.71000000008</v>
      </c>
      <c r="D30" s="2">
        <v>797845</v>
      </c>
      <c r="E30" s="2">
        <v>124934.81000000003</v>
      </c>
    </row>
    <row r="31" spans="1:5" x14ac:dyDescent="0.3">
      <c r="A31" s="21" t="s">
        <v>389</v>
      </c>
      <c r="B31" s="21"/>
      <c r="C31" s="22">
        <v>5032156.05</v>
      </c>
      <c r="D31" s="22">
        <v>6196968</v>
      </c>
      <c r="E31" s="22">
        <v>674339.87000000011</v>
      </c>
    </row>
    <row r="32" spans="1:5" x14ac:dyDescent="0.3">
      <c r="A32" t="s">
        <v>345</v>
      </c>
      <c r="B32" t="s">
        <v>346</v>
      </c>
      <c r="C32" s="2">
        <v>834980.4600000002</v>
      </c>
      <c r="D32" s="2">
        <v>828148</v>
      </c>
      <c r="E32" s="2">
        <v>124757.53999999998</v>
      </c>
    </row>
    <row r="33" spans="1:5" x14ac:dyDescent="0.3">
      <c r="B33" t="s">
        <v>358</v>
      </c>
      <c r="C33" s="2">
        <v>1843524.6</v>
      </c>
      <c r="D33" s="2">
        <v>1667392</v>
      </c>
      <c r="E33" s="2">
        <v>529756.28000000014</v>
      </c>
    </row>
    <row r="34" spans="1:5" x14ac:dyDescent="0.3">
      <c r="B34" t="s">
        <v>350</v>
      </c>
      <c r="C34" s="2">
        <v>1004131.41</v>
      </c>
      <c r="D34" s="2">
        <v>1650472</v>
      </c>
      <c r="E34" s="2">
        <v>172329.59</v>
      </c>
    </row>
    <row r="35" spans="1:5" x14ac:dyDescent="0.3">
      <c r="B35" t="s">
        <v>370</v>
      </c>
      <c r="C35" s="2">
        <v>1655111.8299999998</v>
      </c>
      <c r="D35" s="2">
        <v>1861634</v>
      </c>
      <c r="E35" s="2">
        <v>284711.1700000001</v>
      </c>
    </row>
    <row r="36" spans="1:5" x14ac:dyDescent="0.3">
      <c r="B36" t="s">
        <v>375</v>
      </c>
      <c r="C36" s="2">
        <v>875781.72</v>
      </c>
      <c r="D36" s="2">
        <v>1047751</v>
      </c>
      <c r="E36" s="2">
        <v>156043.28000000003</v>
      </c>
    </row>
    <row r="37" spans="1:5" x14ac:dyDescent="0.3">
      <c r="B37" t="s">
        <v>347</v>
      </c>
      <c r="C37" s="2">
        <v>372551.83999999997</v>
      </c>
      <c r="D37" s="2">
        <v>393527</v>
      </c>
      <c r="E37" s="2">
        <v>48932.160000000018</v>
      </c>
    </row>
    <row r="38" spans="1:5" x14ac:dyDescent="0.3">
      <c r="A38" s="21" t="s">
        <v>390</v>
      </c>
      <c r="B38" s="21"/>
      <c r="C38" s="22">
        <v>6586081.8600000003</v>
      </c>
      <c r="D38" s="22">
        <v>7448924</v>
      </c>
      <c r="E38" s="22">
        <v>1316530.02</v>
      </c>
    </row>
    <row r="39" spans="1:5" x14ac:dyDescent="0.3">
      <c r="A39" t="s">
        <v>343</v>
      </c>
      <c r="B39" t="s">
        <v>376</v>
      </c>
      <c r="C39" s="2">
        <v>597849.97</v>
      </c>
      <c r="D39" s="2">
        <v>618198</v>
      </c>
      <c r="E39" s="2">
        <v>76981.03</v>
      </c>
    </row>
    <row r="40" spans="1:5" x14ac:dyDescent="0.3">
      <c r="B40" t="s">
        <v>381</v>
      </c>
      <c r="C40" s="2">
        <v>1302878.9300000002</v>
      </c>
      <c r="D40" s="2">
        <v>1473522</v>
      </c>
      <c r="E40" s="2">
        <v>170643.06999999998</v>
      </c>
    </row>
    <row r="41" spans="1:5" x14ac:dyDescent="0.3">
      <c r="B41" t="s">
        <v>344</v>
      </c>
      <c r="C41" s="2">
        <v>1266126.1299999999</v>
      </c>
      <c r="D41" s="2">
        <v>1433910</v>
      </c>
      <c r="E41" s="2">
        <v>205301.87000000002</v>
      </c>
    </row>
    <row r="42" spans="1:5" x14ac:dyDescent="0.3">
      <c r="B42" t="s">
        <v>366</v>
      </c>
      <c r="C42" s="2">
        <v>965138.83000000007</v>
      </c>
      <c r="D42" s="2">
        <v>967084</v>
      </c>
      <c r="E42" s="2">
        <v>91652.27</v>
      </c>
    </row>
    <row r="43" spans="1:5" x14ac:dyDescent="0.3">
      <c r="B43" t="s">
        <v>360</v>
      </c>
      <c r="C43" s="2">
        <v>501910.94</v>
      </c>
      <c r="D43" s="2">
        <v>403372</v>
      </c>
      <c r="E43" s="2">
        <v>84597.060000000012</v>
      </c>
    </row>
    <row r="44" spans="1:5" x14ac:dyDescent="0.3">
      <c r="B44" t="s">
        <v>369</v>
      </c>
      <c r="C44" s="2">
        <v>847780.10000000009</v>
      </c>
      <c r="D44" s="2">
        <v>1029004</v>
      </c>
      <c r="E44" s="2">
        <v>-25174.940000000002</v>
      </c>
    </row>
    <row r="45" spans="1:5" x14ac:dyDescent="0.3">
      <c r="A45" s="21" t="s">
        <v>391</v>
      </c>
      <c r="B45" s="21"/>
      <c r="C45" s="22">
        <v>5481684.9000000004</v>
      </c>
      <c r="D45" s="22">
        <v>5925090</v>
      </c>
      <c r="E45" s="22">
        <v>604000.3600000001</v>
      </c>
    </row>
    <row r="46" spans="1:5" x14ac:dyDescent="0.3">
      <c r="A46" s="21" t="s">
        <v>74</v>
      </c>
      <c r="B46" s="21"/>
      <c r="C46" s="22">
        <v>35170053.079999998</v>
      </c>
      <c r="D46" s="22">
        <v>39834464</v>
      </c>
      <c r="E46" s="22">
        <v>5603323.5600000005</v>
      </c>
    </row>
  </sheetData>
  <mergeCells count="1">
    <mergeCell ref="A1: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443B2-665A-4628-9577-F0D60424A459}">
  <dimension ref="A1"/>
  <sheetViews>
    <sheetView zoomScale="86" zoomScaleNormal="94" workbookViewId="0">
      <selection activeCell="Y9" sqref="Y9"/>
    </sheetView>
  </sheetViews>
  <sheetFormatPr defaultRowHeight="14.4" x14ac:dyDescent="0.3"/>
  <cols>
    <col min="14" max="14" width="8.88671875" customWidth="1"/>
    <col min="19" max="19"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22510-0EA3-454E-A33C-5C6ACFF2A279}">
  <dimension ref="A1:Q28"/>
  <sheetViews>
    <sheetView topLeftCell="B1" workbookViewId="0">
      <selection activeCell="E31" sqref="E31"/>
    </sheetView>
  </sheetViews>
  <sheetFormatPr defaultRowHeight="14.4" x14ac:dyDescent="0.3"/>
  <cols>
    <col min="1" max="2" width="12.5546875" bestFit="1" customWidth="1"/>
    <col min="3" max="3" width="12.6640625" bestFit="1" customWidth="1"/>
    <col min="5" max="5" width="12.5546875" bestFit="1" customWidth="1"/>
    <col min="6" max="6" width="12.109375" bestFit="1" customWidth="1"/>
    <col min="7" max="7" width="4.33203125" customWidth="1"/>
    <col min="8" max="8" width="12.5546875" bestFit="1" customWidth="1"/>
    <col min="9" max="9" width="16.44140625" bestFit="1" customWidth="1"/>
    <col min="10" max="10" width="12.5546875" bestFit="1" customWidth="1"/>
    <col min="11" max="12" width="16.44140625" bestFit="1" customWidth="1"/>
    <col min="14" max="14" width="10.88671875" bestFit="1" customWidth="1"/>
    <col min="15" max="15" width="12.44140625" bestFit="1" customWidth="1"/>
    <col min="16" max="16" width="13.77734375" bestFit="1" customWidth="1"/>
    <col min="17" max="17" width="12.6640625" bestFit="1" customWidth="1"/>
  </cols>
  <sheetData>
    <row r="1" spans="1:17" x14ac:dyDescent="0.3">
      <c r="B1" s="43" t="s">
        <v>396</v>
      </c>
      <c r="C1" s="44"/>
      <c r="D1" s="44"/>
      <c r="E1" s="44"/>
      <c r="F1" s="44"/>
      <c r="G1" s="44"/>
      <c r="H1" s="44"/>
      <c r="I1" s="45"/>
    </row>
    <row r="2" spans="1:17" ht="15" thickBot="1" x14ac:dyDescent="0.35">
      <c r="B2" s="46"/>
      <c r="C2" s="47"/>
      <c r="D2" s="47"/>
      <c r="E2" s="47"/>
      <c r="F2" s="47"/>
      <c r="G2" s="47"/>
      <c r="H2" s="47"/>
      <c r="I2" s="48"/>
      <c r="N2" t="s">
        <v>393</v>
      </c>
    </row>
    <row r="3" spans="1:17" x14ac:dyDescent="0.3">
      <c r="A3" s="27" t="s">
        <v>340</v>
      </c>
      <c r="B3" t="s">
        <v>86</v>
      </c>
      <c r="C3" t="s">
        <v>81</v>
      </c>
      <c r="K3" s="56" t="s">
        <v>397</v>
      </c>
    </row>
    <row r="4" spans="1:17" x14ac:dyDescent="0.3">
      <c r="A4" s="28" t="s">
        <v>10</v>
      </c>
      <c r="B4" s="2">
        <v>256481.87000000005</v>
      </c>
      <c r="C4" s="2">
        <v>2890845</v>
      </c>
      <c r="K4" s="57">
        <v>14963</v>
      </c>
      <c r="N4" t="s">
        <v>394</v>
      </c>
      <c r="O4" t="s">
        <v>395</v>
      </c>
      <c r="P4" t="s">
        <v>80</v>
      </c>
      <c r="Q4" t="s">
        <v>87</v>
      </c>
    </row>
    <row r="5" spans="1:17" x14ac:dyDescent="0.3">
      <c r="A5" s="28" t="s">
        <v>8</v>
      </c>
      <c r="B5" s="2">
        <v>623162.27999999991</v>
      </c>
      <c r="C5" s="2">
        <v>3889837</v>
      </c>
      <c r="N5" t="str">
        <f>E10</f>
        <v>Keyboard</v>
      </c>
      <c r="O5" t="str">
        <f>E14</f>
        <v>Sneha</v>
      </c>
      <c r="P5" s="40">
        <f>GETPIVOTDATA("Total Sales",$K$9)</f>
        <v>39834464</v>
      </c>
      <c r="Q5" s="40">
        <f>GETPIVOTDATA("Profit",$H$9)</f>
        <v>5603323.5599999996</v>
      </c>
    </row>
    <row r="6" spans="1:17" x14ac:dyDescent="0.3">
      <c r="A6" s="28" t="s">
        <v>3</v>
      </c>
      <c r="B6" s="2">
        <v>429926.09999999992</v>
      </c>
      <c r="C6" s="2">
        <v>3283676</v>
      </c>
    </row>
    <row r="7" spans="1:17" x14ac:dyDescent="0.3">
      <c r="A7" s="28" t="s">
        <v>31</v>
      </c>
      <c r="B7" s="2">
        <v>484614.46000000008</v>
      </c>
      <c r="C7" s="2">
        <v>3439704</v>
      </c>
    </row>
    <row r="8" spans="1:17" x14ac:dyDescent="0.3">
      <c r="A8" s="28" t="s">
        <v>51</v>
      </c>
      <c r="B8" s="2">
        <v>364922.49000000011</v>
      </c>
      <c r="C8" s="2">
        <v>2924690</v>
      </c>
    </row>
    <row r="9" spans="1:17" x14ac:dyDescent="0.3">
      <c r="A9" s="28" t="s">
        <v>35</v>
      </c>
      <c r="B9" s="2">
        <v>603148.92000000004</v>
      </c>
      <c r="C9" s="2">
        <v>4102756</v>
      </c>
      <c r="E9" s="27" t="s">
        <v>340</v>
      </c>
      <c r="F9" t="s">
        <v>86</v>
      </c>
      <c r="H9" s="27" t="s">
        <v>340</v>
      </c>
      <c r="I9" t="s">
        <v>86</v>
      </c>
      <c r="K9" s="27" t="s">
        <v>340</v>
      </c>
      <c r="L9" t="s">
        <v>81</v>
      </c>
    </row>
    <row r="10" spans="1:17" x14ac:dyDescent="0.3">
      <c r="A10" s="28" t="s">
        <v>24</v>
      </c>
      <c r="B10" s="2">
        <v>691495.34000000032</v>
      </c>
      <c r="C10" s="2">
        <v>5154709</v>
      </c>
      <c r="E10" s="28" t="s">
        <v>13</v>
      </c>
      <c r="F10" s="2">
        <v>897261.3600000001</v>
      </c>
      <c r="H10" s="28" t="s">
        <v>348</v>
      </c>
      <c r="I10" s="2">
        <v>914827.01999999979</v>
      </c>
      <c r="K10" s="28" t="s">
        <v>348</v>
      </c>
      <c r="L10" s="2">
        <v>5940525</v>
      </c>
    </row>
    <row r="11" spans="1:17" x14ac:dyDescent="0.3">
      <c r="A11" s="28" t="s">
        <v>26</v>
      </c>
      <c r="B11" s="2">
        <v>737620.37000000023</v>
      </c>
      <c r="C11" s="2">
        <v>4054862</v>
      </c>
      <c r="E11" s="28" t="s">
        <v>74</v>
      </c>
      <c r="F11" s="2">
        <v>897261.3600000001</v>
      </c>
      <c r="H11" s="28" t="s">
        <v>351</v>
      </c>
      <c r="I11" s="2">
        <v>830620.68</v>
      </c>
      <c r="K11" s="28" t="s">
        <v>351</v>
      </c>
      <c r="L11" s="2">
        <v>6323740</v>
      </c>
    </row>
    <row r="12" spans="1:17" x14ac:dyDescent="0.3">
      <c r="A12" s="28" t="s">
        <v>6</v>
      </c>
      <c r="B12" s="2">
        <v>764890.87000000011</v>
      </c>
      <c r="C12" s="2">
        <v>4331537</v>
      </c>
      <c r="H12" s="28" t="s">
        <v>355</v>
      </c>
      <c r="I12" s="2">
        <v>1263005.6099999999</v>
      </c>
      <c r="K12" s="28" t="s">
        <v>355</v>
      </c>
      <c r="L12" s="2">
        <v>7999217</v>
      </c>
    </row>
    <row r="13" spans="1:17" x14ac:dyDescent="0.3">
      <c r="A13" s="28" t="s">
        <v>22</v>
      </c>
      <c r="B13" s="2">
        <v>118788.12000000005</v>
      </c>
      <c r="C13" s="2">
        <v>2090570</v>
      </c>
      <c r="E13" s="27" t="s">
        <v>340</v>
      </c>
      <c r="F13" t="s">
        <v>86</v>
      </c>
      <c r="H13" s="28" t="s">
        <v>364</v>
      </c>
      <c r="I13" s="2">
        <v>674339.87</v>
      </c>
      <c r="K13" s="28" t="s">
        <v>364</v>
      </c>
      <c r="L13" s="2">
        <v>6196968</v>
      </c>
    </row>
    <row r="14" spans="1:17" x14ac:dyDescent="0.3">
      <c r="A14" s="28" t="s">
        <v>15</v>
      </c>
      <c r="B14" s="2">
        <v>528272.74000000011</v>
      </c>
      <c r="C14" s="2">
        <v>3671278</v>
      </c>
      <c r="E14" s="28" t="s">
        <v>6</v>
      </c>
      <c r="F14" s="2">
        <v>764890.87000000011</v>
      </c>
      <c r="H14" s="28" t="s">
        <v>345</v>
      </c>
      <c r="I14" s="2">
        <v>1316530.0199999998</v>
      </c>
      <c r="K14" s="28" t="s">
        <v>345</v>
      </c>
      <c r="L14" s="2">
        <v>7448924</v>
      </c>
    </row>
    <row r="15" spans="1:17" x14ac:dyDescent="0.3">
      <c r="A15" s="28" t="s">
        <v>74</v>
      </c>
      <c r="B15" s="2">
        <v>5603323.5600000015</v>
      </c>
      <c r="C15" s="2">
        <v>39834464</v>
      </c>
      <c r="E15" s="28" t="s">
        <v>74</v>
      </c>
      <c r="F15" s="2">
        <v>764890.87000000011</v>
      </c>
      <c r="H15" s="28" t="s">
        <v>343</v>
      </c>
      <c r="I15" s="2">
        <v>604000.3600000001</v>
      </c>
      <c r="K15" s="28" t="s">
        <v>343</v>
      </c>
      <c r="L15" s="2">
        <v>5925090</v>
      </c>
    </row>
    <row r="16" spans="1:17" x14ac:dyDescent="0.3">
      <c r="H16" s="28" t="s">
        <v>74</v>
      </c>
      <c r="I16" s="2">
        <v>5603323.5599999996</v>
      </c>
      <c r="K16" s="28" t="s">
        <v>74</v>
      </c>
      <c r="L16" s="2">
        <v>39834464</v>
      </c>
    </row>
    <row r="19" spans="2:9" x14ac:dyDescent="0.3">
      <c r="B19" s="27" t="s">
        <v>340</v>
      </c>
      <c r="C19" t="s">
        <v>86</v>
      </c>
    </row>
    <row r="20" spans="2:9" x14ac:dyDescent="0.3">
      <c r="B20" s="28" t="s">
        <v>4</v>
      </c>
      <c r="C20" s="2">
        <v>762756.84999999986</v>
      </c>
    </row>
    <row r="21" spans="2:9" x14ac:dyDescent="0.3">
      <c r="B21" s="28" t="s">
        <v>13</v>
      </c>
      <c r="C21" s="2">
        <v>897261.3600000001</v>
      </c>
    </row>
    <row r="22" spans="2:9" x14ac:dyDescent="0.3">
      <c r="B22" s="28" t="s">
        <v>20</v>
      </c>
      <c r="C22" s="2">
        <v>723316.55</v>
      </c>
    </row>
    <row r="23" spans="2:9" x14ac:dyDescent="0.3">
      <c r="B23" s="28" t="s">
        <v>28</v>
      </c>
      <c r="C23" s="2">
        <v>564510.48999999987</v>
      </c>
    </row>
    <row r="24" spans="2:9" x14ac:dyDescent="0.3">
      <c r="B24" s="28" t="s">
        <v>37</v>
      </c>
      <c r="C24" s="2">
        <v>589639.57000000007</v>
      </c>
    </row>
    <row r="25" spans="2:9" x14ac:dyDescent="0.3">
      <c r="B25" s="28" t="s">
        <v>44</v>
      </c>
      <c r="C25" s="2">
        <v>741563.44</v>
      </c>
      <c r="E25" s="27" t="s">
        <v>340</v>
      </c>
      <c r="F25" t="s">
        <v>81</v>
      </c>
      <c r="H25" s="27" t="s">
        <v>340</v>
      </c>
      <c r="I25" t="s">
        <v>81</v>
      </c>
    </row>
    <row r="26" spans="2:9" x14ac:dyDescent="0.3">
      <c r="B26" s="28" t="s">
        <v>49</v>
      </c>
      <c r="C26" s="2">
        <v>664769.7699999999</v>
      </c>
      <c r="E26" s="28" t="s">
        <v>72</v>
      </c>
      <c r="F26" s="2">
        <v>18480291</v>
      </c>
      <c r="H26" s="28" t="s">
        <v>72</v>
      </c>
      <c r="I26" s="2">
        <v>18480291</v>
      </c>
    </row>
    <row r="27" spans="2:9" x14ac:dyDescent="0.3">
      <c r="B27" s="28" t="s">
        <v>60</v>
      </c>
      <c r="C27" s="2">
        <v>659505.52999999991</v>
      </c>
      <c r="E27" s="28" t="s">
        <v>73</v>
      </c>
      <c r="F27" s="2">
        <v>21354173</v>
      </c>
      <c r="H27" s="28" t="s">
        <v>73</v>
      </c>
      <c r="I27" s="2">
        <v>21354173</v>
      </c>
    </row>
    <row r="28" spans="2:9" x14ac:dyDescent="0.3">
      <c r="B28" s="28" t="s">
        <v>74</v>
      </c>
      <c r="C28" s="2">
        <v>5603323.5599999996</v>
      </c>
      <c r="E28" s="28" t="s">
        <v>74</v>
      </c>
      <c r="F28" s="2">
        <v>39834464</v>
      </c>
      <c r="H28" s="28" t="s">
        <v>74</v>
      </c>
      <c r="I28" s="2">
        <v>39834464</v>
      </c>
    </row>
  </sheetData>
  <mergeCells count="1">
    <mergeCell ref="B1: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01.Table</vt:lpstr>
      <vt:lpstr>02.MIS Report Table</vt:lpstr>
      <vt:lpstr>04.Report</vt:lpstr>
      <vt:lpstr>03.Report</vt:lpstr>
      <vt:lpstr>05.Report</vt:lpstr>
      <vt:lpstr>06.Dashboard</vt:lpstr>
      <vt:lpstr>07.DRW</vt:lpstr>
      <vt:lpstr>Sale_Table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ssglion ff</dc:creator>
  <cp:lastModifiedBy>ssglion ff</cp:lastModifiedBy>
  <dcterms:created xsi:type="dcterms:W3CDTF">2026-07-16T10:49:57Z</dcterms:created>
  <dcterms:modified xsi:type="dcterms:W3CDTF">2026-08-27T06:13:12Z</dcterms:modified>
</cp:coreProperties>
</file>